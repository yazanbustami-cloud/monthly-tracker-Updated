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Work Flow Planning\October 2026 1.5 M\Dashboard\Final\Updated Version\target test\"/>
    </mc:Choice>
  </mc:AlternateContent>
  <xr:revisionPtr revIDLastSave="0" documentId="13_ncr:1_{3864B60F-852B-4A9C-BCD1-460C7193088C}" xr6:coauthVersionLast="47" xr6:coauthVersionMax="47" xr10:uidLastSave="{00000000-0000-0000-0000-000000000000}"/>
  <bookViews>
    <workbookView xWindow="-28920" yWindow="-975" windowWidth="29040" windowHeight="15720" firstSheet="2" activeTab="6" xr2:uid="{00000000-000D-0000-FFFF-FFFF00000000}"/>
  </bookViews>
  <sheets>
    <sheet name="Config" sheetId="1" r:id="rId1"/>
    <sheet name="Real Demand Target Day x Zone" sheetId="2" r:id="rId2"/>
    <sheet name="Promo Spend Zone x Day" sheetId="3" r:id="rId3"/>
    <sheet name="Universities Targets" sheetId="4" r:id="rId4"/>
    <sheet name="Users Target" sheetId="5" r:id="rId5"/>
    <sheet name="Uni Calendar" sheetId="6" r:id="rId6"/>
    <sheet name="Hour Weights" sheetId="8" r:id="rId7"/>
    <sheet name="User Pacing Curve" sheetId="7" r:id="rId8"/>
  </sheets>
  <definedNames>
    <definedName name="_xlnm._FilterDatabase" localSheetId="5" hidden="1">'Uni Calendar'!$A$1:$C$32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4" l="1"/>
  <c r="D27" i="4"/>
  <c r="C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C26" i="8"/>
  <c r="B26" i="8"/>
  <c r="E6" i="5"/>
  <c r="F6" i="5" s="1"/>
  <c r="B6" i="5"/>
  <c r="F5" i="5"/>
  <c r="D5" i="5"/>
  <c r="F4" i="5"/>
  <c r="D4" i="5"/>
  <c r="F3" i="5"/>
  <c r="D3" i="5"/>
  <c r="F2" i="5"/>
  <c r="D2" i="5"/>
  <c r="D6" i="5" s="1"/>
  <c r="I21" i="3"/>
  <c r="H21" i="3"/>
  <c r="G21" i="3"/>
  <c r="F21" i="3"/>
  <c r="E21" i="3"/>
  <c r="D21" i="3"/>
  <c r="C21" i="3"/>
  <c r="B21" i="3"/>
  <c r="I30" i="2"/>
  <c r="H30" i="2"/>
  <c r="G30" i="2"/>
  <c r="F30" i="2"/>
  <c r="E30" i="2"/>
  <c r="D30" i="2"/>
  <c r="C30" i="2"/>
  <c r="B30" i="2"/>
  <c r="N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7A29978D-3AAD-4870-A6DB-0B0D802E7083}">
      <text>
        <r>
          <rPr>
            <sz val="10"/>
            <rFont val="Arial"/>
            <family val="2"/>
          </rPr>
          <t>November 2026: 1,600,000 real demand × zone weight; day columns = expected real demand on one such day (zone total × day-of-week weight ÷ 4.30440). Source: Weights file (Zone, Day Of Week).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F581DC3A-B7F7-41A7-BF7D-70AB2A5D2D6F}">
      <text>
        <r>
          <rPr>
            <sz val="10"/>
            <rFont val="Arial"/>
            <family val="2"/>
          </rPr>
          <t>November 2026: 110,000 JD (same as October) × Zone x Promo spend_weight_pct; day columns use the same day-of-week weights. Cost per real demand = zone budget ÷ zone real demand target.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99AF1A33-B322-4042-9F9A-0687260F8577}">
      <text>
        <r>
          <rPr>
            <sz val="10"/>
            <rFont val="Arial"/>
            <family val="2"/>
          </rPr>
          <t>November 2026: 150,000 completed trips, same weekday/weekend split and university weights as October (scaled ×1.667). Averages use 22 teaching days and 8 weekend days.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6DAF7F0-2C29-4992-8040-39C7704BF054}">
      <text>
        <r>
          <rPr>
            <sz val="10"/>
            <rFont val="Arial"/>
            <family val="2"/>
          </rPr>
          <t>November 2026: October segment demand scaled ×1.0667 to 1.6M; demand per user and segment promo unchanged. Rebuild from October full-month actuals on Nov 1.</t>
        </r>
      </text>
    </comment>
  </commentList>
</comments>
</file>

<file path=xl/sharedStrings.xml><?xml version="1.0" encoding="utf-8"?>
<sst xmlns="http://schemas.openxmlformats.org/spreadsheetml/2006/main" count="343" uniqueCount="248">
  <si>
    <t>university</t>
  </si>
  <si>
    <t>Total Students</t>
  </si>
  <si>
    <t>Current Unique Users/Month</t>
  </si>
  <si>
    <t>weekday_completed_trips</t>
  </si>
  <si>
    <t>weekend_completed_trips</t>
  </si>
  <si>
    <t>Weekday Weight</t>
  </si>
  <si>
    <t>Weekend Weight</t>
  </si>
  <si>
    <t>UniversityOfJordan</t>
  </si>
  <si>
    <t>~ 50k</t>
  </si>
  <si>
    <t>UniversityOfPetra</t>
  </si>
  <si>
    <t>~ 8k</t>
  </si>
  <si>
    <t>AppliedSciencePrivateUniversity</t>
  </si>
  <si>
    <t>Psut</t>
  </si>
  <si>
    <t>~ 5.2k</t>
  </si>
  <si>
    <t>Al-ahliyyaAmmanUniversity</t>
  </si>
  <si>
    <t>~ 7k</t>
  </si>
  <si>
    <t>Yarmouk University</t>
  </si>
  <si>
    <t>~ 37k</t>
  </si>
  <si>
    <t>Al-Albayt University</t>
  </si>
  <si>
    <t>~ 22.3k</t>
  </si>
  <si>
    <t>Mu'tah University</t>
  </si>
  <si>
    <t>~ 15.8k</t>
  </si>
  <si>
    <t>AlZaytoonahUniversityOfJordan</t>
  </si>
  <si>
    <t>~ 17k</t>
  </si>
  <si>
    <t>MiddleEastUniversity</t>
  </si>
  <si>
    <t>~ 3.7k</t>
  </si>
  <si>
    <t>Jordan University of Science and Technology</t>
  </si>
  <si>
    <t>~ 32.7k</t>
  </si>
  <si>
    <t>Arab Open University</t>
  </si>
  <si>
    <t>-</t>
  </si>
  <si>
    <t>Amman Arab University</t>
  </si>
  <si>
    <t>~ 15k</t>
  </si>
  <si>
    <t>NationalUniversityCollegeOfTechnology</t>
  </si>
  <si>
    <t>~ 1.5k</t>
  </si>
  <si>
    <t>TheWorldIslamicSciencesAndEducationUniversity</t>
  </si>
  <si>
    <t>~ 10k</t>
  </si>
  <si>
    <t>Zarqa University</t>
  </si>
  <si>
    <t>~ 12k</t>
  </si>
  <si>
    <t>The Hashemite University</t>
  </si>
  <si>
    <t>~ 30k</t>
  </si>
  <si>
    <t>Al Husun College</t>
  </si>
  <si>
    <t>Irbid University College</t>
  </si>
  <si>
    <t>~ 4.5k</t>
  </si>
  <si>
    <t>IsraUniversity</t>
  </si>
  <si>
    <t>~ 7.7k</t>
  </si>
  <si>
    <t>KhawarizmiUniversityTechnicalCollege:Kutc</t>
  </si>
  <si>
    <t>Jerash University</t>
  </si>
  <si>
    <t>~ 10.7k</t>
  </si>
  <si>
    <t>GermanJordanianUniversityJabalAmman</t>
  </si>
  <si>
    <t>~ 5k</t>
  </si>
  <si>
    <t>Jadara University</t>
  </si>
  <si>
    <t>Irbid National University</t>
  </si>
  <si>
    <t>~ 2.5</t>
  </si>
  <si>
    <t>Total</t>
  </si>
  <si>
    <t>~ 320.6k</t>
  </si>
  <si>
    <t>key</t>
  </si>
  <si>
    <t>value</t>
  </si>
  <si>
    <t>what it controls</t>
  </si>
  <si>
    <t>target_month</t>
  </si>
  <si>
    <t>Month these targets belong to (YYYY-MM). Change every month.</t>
  </si>
  <si>
    <t>pace_amber</t>
  </si>
  <si>
    <t>Real demand / universities: below this share of paced target = amber</t>
  </si>
  <si>
    <t>pace_red</t>
  </si>
  <si>
    <t>Below this share of paced target = red</t>
  </si>
  <si>
    <t>promo_over_amber</t>
  </si>
  <si>
    <t>Promo spend above this share of paced budget = amber</t>
  </si>
  <si>
    <t>promo_over_red</t>
  </si>
  <si>
    <t>Promo spend above this share of paced budget = red</t>
  </si>
  <si>
    <t>promo_under</t>
  </si>
  <si>
    <t>Promo spend below this share of paced budget = underspend note</t>
  </si>
  <si>
    <t>cost_per_demand_amber</t>
  </si>
  <si>
    <t>Promo per real demand above this multiple of target = amber</t>
  </si>
  <si>
    <t>min_zone_demand_target</t>
  </si>
  <si>
    <t>Zones with a smaller monthly real demand target are not alerted</t>
  </si>
  <si>
    <t>min_zone_promo_budget</t>
  </si>
  <si>
    <t>Zones with a smaller monthly promo budget (JD) are not alerted</t>
  </si>
  <si>
    <t>min_uni_target</t>
  </si>
  <si>
    <t>Universities with a smaller monthly completed-trip target are not alerted</t>
  </si>
  <si>
    <t>never_completed_spike</t>
  </si>
  <si>
    <t>Never Completed requesting users above this multiple of 7-day avg = amber</t>
  </si>
  <si>
    <t>uni_month_target</t>
  </si>
  <si>
    <t>Universities monthly completed trips target (total_completed)</t>
  </si>
  <si>
    <t>zone_name</t>
  </si>
  <si>
    <t>Total Target</t>
  </si>
  <si>
    <t>Sunday</t>
  </si>
  <si>
    <t>Monday</t>
  </si>
  <si>
    <t>Tuesday</t>
  </si>
  <si>
    <t>Wednesday</t>
  </si>
  <si>
    <t>Thursday</t>
  </si>
  <si>
    <t>Friday</t>
  </si>
  <si>
    <t>Saturday</t>
  </si>
  <si>
    <t>Amman</t>
  </si>
  <si>
    <t>Zarqa</t>
  </si>
  <si>
    <t>Irbid</t>
  </si>
  <si>
    <t>Mafraq</t>
  </si>
  <si>
    <t>Karak</t>
  </si>
  <si>
    <t>AqabaCityCenter</t>
  </si>
  <si>
    <t>Balqa</t>
  </si>
  <si>
    <t>Jarash</t>
  </si>
  <si>
    <t>Madaba</t>
  </si>
  <si>
    <t>Ramtha</t>
  </si>
  <si>
    <t>Aqaba</t>
  </si>
  <si>
    <t>QueenAliaAirport</t>
  </si>
  <si>
    <t>Ayla</t>
  </si>
  <si>
    <t>ShamiaAqaba</t>
  </si>
  <si>
    <t>SouthBeach</t>
  </si>
  <si>
    <t>Ajlun</t>
  </si>
  <si>
    <t>Maan</t>
  </si>
  <si>
    <t>KingHusseinInternationalAirport</t>
  </si>
  <si>
    <t>DeadSea</t>
  </si>
  <si>
    <t>Tafilah</t>
  </si>
  <si>
    <t>AqabaPort</t>
  </si>
  <si>
    <t>WadiArabaCrossing</t>
  </si>
  <si>
    <t>PetraCity</t>
  </si>
  <si>
    <t>KingHusseinBridge</t>
  </si>
  <si>
    <t>SofexAqaba</t>
  </si>
  <si>
    <t>Damas</t>
  </si>
  <si>
    <t>WadiRum</t>
  </si>
  <si>
    <t>LHR</t>
  </si>
  <si>
    <t>zone</t>
  </si>
  <si>
    <t>total spend jd</t>
  </si>
  <si>
    <t>Promo Cost Per Real Demand</t>
  </si>
  <si>
    <t>Segment</t>
  </si>
  <si>
    <t>real demand traget</t>
  </si>
  <si>
    <t>Planned demand / user</t>
  </si>
  <si>
    <t>Segment users needed</t>
  </si>
  <si>
    <t>Promo / demand JOD</t>
  </si>
  <si>
    <t>Active</t>
  </si>
  <si>
    <t>Reactivated</t>
  </si>
  <si>
    <t>New Registered</t>
  </si>
  <si>
    <t>First Trip</t>
  </si>
  <si>
    <t>TOTAL</t>
  </si>
  <si>
    <t>date</t>
  </si>
  <si>
    <t>day</t>
  </si>
  <si>
    <t>type</t>
  </si>
  <si>
    <t>2026-10-01</t>
  </si>
  <si>
    <t>2026-10-02</t>
  </si>
  <si>
    <t>Weekend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</si>
  <si>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</si>
  <si>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</si>
  <si>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</si>
  <si>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</si>
  <si>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</si>
  <si>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</si>
  <si>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</si>
  <si>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</si>
  <si>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</si>
  <si>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Teaching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</si>
  <si>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</si>
  <si>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</si>
  <si>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</si>
  <si>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</si>
  <si>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</si>
  <si>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</si>
  <si>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</si>
  <si>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</si>
  <si>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</si>
  <si>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</si>
  <si>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</si>
  <si>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</si>
  <si>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</si>
  <si>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</si>
  <si>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</si>
  <si>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</si>
  <si>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</si>
  <si>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</si>
  <si>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</si>
  <si>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</si>
  <si>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type = Teaching / Weekend / Off. Weekday target is split over Teaching days, weekend target over Weekend days, Off days have no target.</t>
  </si>
  <si>
    <t>trip_date</t>
  </si>
  <si>
    <t>new_registered</t>
  </si>
  <si>
    <t>registered_and_activated</t>
  </si>
  <si>
    <t>first_trip</t>
  </si>
  <si>
    <t>active</t>
  </si>
  <si>
    <t>reactivated</t>
  </si>
  <si>
    <t>total_users</t>
  </si>
  <si>
    <t>note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</si>
  <si>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</si>
  <si>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</si>
  <si>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</si>
  <si>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</si>
  <si>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</si>
  <si>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</si>
  <si>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</si>
  <si>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</si>
  <si>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</si>
  <si>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</si>
  <si>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</si>
  <si>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</si>
  <si>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</si>
  <si>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</si>
  <si>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</si>
  <si>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</si>
  <si>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</si>
  <si>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</si>
  <si>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</si>
  <si>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</si>
  <si>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</si>
  <si>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</si>
  <si>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</si>
  <si>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</si>
  <si>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</si>
  <si>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</si>
  <si>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</si>
  <si>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</si>
  <si>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estimated: avg of Sep 21-27</t>
  </si>
  <si>
    <t>2026-09-29</t>
  </si>
  <si>
    <t>2026-09-30</t>
  </si>
  <si>
    <t>Paste the previous full month of the Users Segments Funnel export here each month. Used only as the shape of how segment users accumulate through a month.</t>
  </si>
  <si>
    <t>period_morning_start</t>
  </si>
  <si>
    <t>Day periods: hour the Morning period starts (After midnight runs from 00:00 to here)</t>
  </si>
  <si>
    <t>period_afternoon_start</t>
  </si>
  <si>
    <t>Day periods: hour the Afternoon period starts</t>
  </si>
  <si>
    <t>period_rush_start</t>
  </si>
  <si>
    <t>Day periods: hour the Rush period starts</t>
  </si>
  <si>
    <t>period_evening_start</t>
  </si>
  <si>
    <t>Day periods: hour the Evening period starts (runs to midnight)</t>
  </si>
  <si>
    <t>wow_demand_amber</t>
  </si>
  <si>
    <t>Same-time WoW: platform real demand this far below the same time last week = amber</t>
  </si>
  <si>
    <t>wow_demand_red</t>
  </si>
  <si>
    <t>Same-time WoW: this far below = red</t>
  </si>
  <si>
    <t>unserved_rise_amber</t>
  </si>
  <si>
    <t>Unserved users % MTD above this multiple of last month same days = amber</t>
  </si>
  <si>
    <t>unserved_zone_amber</t>
  </si>
  <si>
    <t>Zone unserved users % MTD above this = amber</t>
  </si>
  <si>
    <t>min_zone_requesting_users</t>
  </si>
  <si>
    <t>Zones with fewer requesting users MTD are not alerted on unserved %</t>
  </si>
  <si>
    <t>bad_rating_rise_amber</t>
  </si>
  <si>
    <t>Bad-rating (1-3) rate MTD above this multiple of last month same days = amber</t>
  </si>
  <si>
    <t>apple_fail_amber</t>
  </si>
  <si>
    <t>Apple Pay failed-attempt rate MTD above this = amber</t>
  </si>
  <si>
    <t>card_fail_amber</t>
  </si>
  <si>
    <t>Card failed-attempt rate MTD above this = amber</t>
  </si>
  <si>
    <t>churn_rise_amber</t>
  </si>
  <si>
    <t>Churned users per day MTD above this multiple of last month same days = amber</t>
  </si>
  <si>
    <t>promo_min_window_days</t>
  </si>
  <si>
    <t>Promo ROI: codes whose average observation window is shorter are flagged as too early</t>
  </si>
  <si>
    <t>promo_cost_per_user_flag</t>
  </si>
  <si>
    <t>Promo ROI: codes costing more than this JD per user are flagged for review</t>
  </si>
  <si>
    <t>Blue values are inputs. Other sheets: replace target tables monthly, keep headers unchanged. November 2026 targets: 1.6M real demand, 110K JD promo, 150K university trips.</t>
  </si>
  <si>
    <t>promo JOD</t>
  </si>
  <si>
    <t>hour</t>
  </si>
  <si>
    <t>weekday</t>
  </si>
  <si>
    <t>weekend</t>
  </si>
  <si>
    <t>Share of a day's real demand (retry-adjusted sessions) by hour of first request, Amman time. Source: Day periods card, 1-20 Oct 2026 (weekend = Fri/Sat). Refresh on Nov 1 from October full month.</t>
  </si>
  <si>
    <t>avg_trips_per_teaching_day</t>
  </si>
  <si>
    <t>avg_trips_per_weekend_day</t>
  </si>
  <si>
    <t>2026-10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</si>
</sst>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%"/>
    <numFmt numFmtId="167" formatCode="_(* #,##0_);_(* \(#,##0\);_(* \-??_);_(@_)"/>
    <numFmt numFmtId="168" formatCode="_(* #,##0.000_);_(* \(#,##0.000\);_(* \-??_);_(@_)"/>
    <numFmt numFmtId="169" formatCode="_(* #,##0.00_);_(* \(#,##0.00\);_(*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  <font>
      <i/>
      <sz val="11"/>
      <color rgb="FF464555"/>
      <name val="Arial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11"/>
      <color rgb="FF464555"/>
      <name val="Arial"/>
      <charset val="1"/>
    </font>
    <font>
      <i/>
      <sz val="9"/>
      <name val="Arial"/>
      <charset val="1"/>
    </font>
    <font>
      <b/>
      <sz val="11"/>
      <color theme="0"/>
      <name val="Calibri"/>
      <family val="2"/>
      <charset val="1"/>
    </font>
    <font>
      <sz val="10"/>
      <name val="Arial"/>
      <family val="2"/>
    </font>
    <font>
      <b/>
      <sz val="11"/>
      <name val="Arial"/>
      <charset val="1"/>
    </font>
    <font>
      <b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43CA1"/>
      </patternFill>
    </fill>
    <fill>
      <patternFill patternType="solid">
        <fgColor rgb="FF043CA1"/>
        <bgColor rgb="FF0066CC"/>
      </patternFill>
    </fill>
    <fill>
      <patternFill patternType="solid">
        <fgColor theme="3" tint="-0.249977111117893"/>
        <bgColor rgb="FF464555"/>
      </patternFill>
    </fill>
    <fill>
      <patternFill patternType="solid">
        <fgColor theme="0" tint="-0.14999847407452621"/>
        <bgColor rgb="FFC0C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16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165" fontId="0" fillId="0" borderId="0" xfId="0" applyNumberFormat="1"/>
    <xf numFmtId="43" fontId="0" fillId="0" borderId="0" xfId="1" applyFont="1"/>
    <xf numFmtId="165" fontId="0" fillId="0" borderId="0" xfId="1" applyNumberFormat="1" applyFont="1"/>
    <xf numFmtId="0" fontId="2" fillId="2" borderId="0" xfId="0" applyFont="1" applyFill="1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3" borderId="0" xfId="0" applyFont="1" applyFill="1"/>
    <xf numFmtId="0" fontId="7" fillId="0" borderId="0" xfId="0" applyFont="1"/>
    <xf numFmtId="49" fontId="8" fillId="0" borderId="0" xfId="0" applyNumberFormat="1" applyFont="1"/>
    <xf numFmtId="0" fontId="9" fillId="0" borderId="0" xfId="0" applyFont="1"/>
    <xf numFmtId="0" fontId="8" fillId="0" borderId="0" xfId="0" applyFont="1"/>
    <xf numFmtId="2" fontId="8" fillId="0" borderId="0" xfId="0" applyNumberFormat="1" applyFont="1"/>
    <xf numFmtId="0" fontId="10" fillId="0" borderId="0" xfId="0" applyFont="1"/>
    <xf numFmtId="0" fontId="11" fillId="4" borderId="1" xfId="0" applyFont="1" applyFill="1" applyBorder="1"/>
    <xf numFmtId="167" fontId="11" fillId="4" borderId="1" xfId="0" applyNumberFormat="1" applyFont="1" applyFill="1" applyBorder="1"/>
    <xf numFmtId="167" fontId="0" fillId="0" borderId="1" xfId="0" applyNumberFormat="1" applyBorder="1"/>
    <xf numFmtId="0" fontId="11" fillId="4" borderId="2" xfId="0" applyFont="1" applyFill="1" applyBorder="1"/>
    <xf numFmtId="167" fontId="11" fillId="4" borderId="0" xfId="0" applyNumberFormat="1" applyFont="1" applyFill="1"/>
    <xf numFmtId="168" fontId="11" fillId="4" borderId="1" xfId="0" applyNumberFormat="1" applyFont="1" applyFill="1" applyBorder="1"/>
    <xf numFmtId="169" fontId="0" fillId="0" borderId="1" xfId="0" applyNumberFormat="1" applyBorder="1"/>
    <xf numFmtId="168" fontId="0" fillId="0" borderId="1" xfId="0" applyNumberFormat="1" applyBorder="1"/>
    <xf numFmtId="169" fontId="11" fillId="4" borderId="0" xfId="0" applyNumberFormat="1" applyFont="1" applyFill="1"/>
    <xf numFmtId="169" fontId="11" fillId="4" borderId="1" xfId="0" applyNumberFormat="1" applyFont="1" applyFill="1" applyBorder="1"/>
    <xf numFmtId="10" fontId="8" fillId="0" borderId="0" xfId="0" applyNumberFormat="1" applyFont="1"/>
    <xf numFmtId="0" fontId="13" fillId="0" borderId="0" xfId="0" applyFont="1"/>
    <xf numFmtId="10" fontId="13" fillId="0" borderId="0" xfId="0" applyNumberFormat="1" applyFont="1"/>
    <xf numFmtId="0" fontId="14" fillId="0" borderId="1" xfId="0" applyFont="1" applyBorder="1"/>
    <xf numFmtId="167" fontId="14" fillId="5" borderId="1" xfId="0" applyNumberFormat="1" applyFont="1" applyFill="1" applyBorder="1"/>
    <xf numFmtId="3" fontId="14" fillId="5" borderId="1" xfId="0" applyNumberFormat="1" applyFont="1" applyFill="1" applyBorder="1"/>
    <xf numFmtId="166" fontId="14" fillId="0" borderId="1" xfId="0" applyNumberFormat="1" applyFont="1" applyBorder="1"/>
    <xf numFmtId="3" fontId="14" fillId="0" borderId="1" xfId="0" applyNumberFormat="1" applyFont="1" applyBorder="1"/>
    <xf numFmtId="167" fontId="14" fillId="0" borderId="1" xfId="0" applyNumberFormat="1" applyFont="1" applyBorder="1"/>
    <xf numFmtId="0" fontId="11" fillId="4" borderId="0" xfId="0" applyFont="1" applyFill="1"/>
    <xf numFmtId="3" fontId="11" fillId="4" borderId="0" xfId="0" applyNumberFormat="1" applyFont="1" applyFill="1"/>
    <xf numFmtId="167" fontId="0" fillId="0" borderId="0" xfId="0" applyNumberFormat="1"/>
  </cellXfs>
  <cellStyles count="4">
    <cellStyle name="Comma" xfId="1" builtinId="3"/>
    <cellStyle name="Comma 2" xfId="2" xr:uid="{AE26F8D0-DBD5-428A-AE44-D4EAE9815CDD}"/>
    <cellStyle name="Normal" xfId="0" builtinId="0"/>
    <cellStyle name="Percent 2" xfId="3" xr:uid="{8E9D8EB0-E215-49C6-B4BB-49A8021359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activeCell="B3" sqref="B3"/>
    </sheetView>
  </sheetViews>
  <sheetFormatPr defaultRowHeight="14.4" x14ac:dyDescent="0.3"/>
  <cols>
    <col min="1" max="1" width="26" customWidth="1"/>
    <col min="2" max="2" width="12" customWidth="1"/>
    <col min="3" max="3" width="80" customWidth="1"/>
  </cols>
  <sheetData>
    <row r="1" spans="1:3" x14ac:dyDescent="0.3">
      <c r="A1" s="12" t="s">
        <v>55</v>
      </c>
      <c r="B1" s="12" t="s">
        <v>56</v>
      </c>
      <c r="C1" s="12" t="s">
        <v>57</v>
      </c>
    </row>
    <row r="2" spans="1:3" x14ac:dyDescent="0.3">
      <c r="A2" s="13" t="s">
        <v>58</v>
      </c>
      <c r="B2" s="14" t="s">
        <v>247</v>
      </c>
      <c r="C2" s="15" t="s">
        <v>59</v>
      </c>
    </row>
    <row r="3" spans="1:3" x14ac:dyDescent="0.3">
      <c r="A3" s="13" t="s">
        <v>60</v>
      </c>
      <c r="B3" s="16">
        <v>0.95</v>
      </c>
      <c r="C3" s="15" t="s">
        <v>61</v>
      </c>
    </row>
    <row r="4" spans="1:3" x14ac:dyDescent="0.3">
      <c r="A4" s="13" t="s">
        <v>62</v>
      </c>
      <c r="B4" s="16">
        <v>0.9</v>
      </c>
      <c r="C4" s="15" t="s">
        <v>63</v>
      </c>
    </row>
    <row r="5" spans="1:3" x14ac:dyDescent="0.3">
      <c r="A5" s="13" t="s">
        <v>64</v>
      </c>
      <c r="B5" s="16">
        <v>1.05</v>
      </c>
      <c r="C5" s="15" t="s">
        <v>65</v>
      </c>
    </row>
    <row r="6" spans="1:3" x14ac:dyDescent="0.3">
      <c r="A6" s="13" t="s">
        <v>66</v>
      </c>
      <c r="B6" s="16">
        <v>1.1499999999999999</v>
      </c>
      <c r="C6" s="15" t="s">
        <v>67</v>
      </c>
    </row>
    <row r="7" spans="1:3" x14ac:dyDescent="0.3">
      <c r="A7" s="13" t="s">
        <v>68</v>
      </c>
      <c r="B7" s="16">
        <v>0.8</v>
      </c>
      <c r="C7" s="15" t="s">
        <v>69</v>
      </c>
    </row>
    <row r="8" spans="1:3" x14ac:dyDescent="0.3">
      <c r="A8" s="13" t="s">
        <v>70</v>
      </c>
      <c r="B8" s="16">
        <v>1.1000000000000001</v>
      </c>
      <c r="C8" s="15" t="s">
        <v>71</v>
      </c>
    </row>
    <row r="9" spans="1:3" x14ac:dyDescent="0.3">
      <c r="A9" s="13" t="s">
        <v>72</v>
      </c>
      <c r="B9" s="16">
        <v>5000</v>
      </c>
      <c r="C9" s="15" t="s">
        <v>73</v>
      </c>
    </row>
    <row r="10" spans="1:3" x14ac:dyDescent="0.3">
      <c r="A10" s="13" t="s">
        <v>74</v>
      </c>
      <c r="B10" s="16">
        <v>500</v>
      </c>
      <c r="C10" s="15" t="s">
        <v>75</v>
      </c>
    </row>
    <row r="11" spans="1:3" x14ac:dyDescent="0.3">
      <c r="A11" s="13" t="s">
        <v>76</v>
      </c>
      <c r="B11" s="16">
        <v>500</v>
      </c>
      <c r="C11" s="15" t="s">
        <v>77</v>
      </c>
    </row>
    <row r="12" spans="1:3" x14ac:dyDescent="0.3">
      <c r="A12" s="13" t="s">
        <v>78</v>
      </c>
      <c r="B12" s="16">
        <v>1.2</v>
      </c>
      <c r="C12" s="15" t="s">
        <v>79</v>
      </c>
    </row>
    <row r="13" spans="1:3" x14ac:dyDescent="0.3">
      <c r="A13" s="13" t="s">
        <v>80</v>
      </c>
      <c r="B13" s="16">
        <v>150000</v>
      </c>
      <c r="C13" s="15" t="s">
        <v>81</v>
      </c>
    </row>
    <row r="14" spans="1:3" x14ac:dyDescent="0.3">
      <c r="A14" s="13" t="s">
        <v>209</v>
      </c>
      <c r="B14" s="16">
        <v>6</v>
      </c>
      <c r="C14" s="15" t="s">
        <v>210</v>
      </c>
    </row>
    <row r="15" spans="1:3" x14ac:dyDescent="0.3">
      <c r="A15" s="13" t="s">
        <v>211</v>
      </c>
      <c r="B15" s="16">
        <v>12</v>
      </c>
      <c r="C15" s="15" t="s">
        <v>212</v>
      </c>
    </row>
    <row r="16" spans="1:3" x14ac:dyDescent="0.3">
      <c r="A16" s="13" t="s">
        <v>213</v>
      </c>
      <c r="B16" s="16">
        <v>16</v>
      </c>
      <c r="C16" s="15" t="s">
        <v>214</v>
      </c>
    </row>
    <row r="17" spans="1:3" x14ac:dyDescent="0.3">
      <c r="A17" s="13" t="s">
        <v>215</v>
      </c>
      <c r="B17" s="16">
        <v>20</v>
      </c>
      <c r="C17" s="15" t="s">
        <v>216</v>
      </c>
    </row>
    <row r="18" spans="1:3" x14ac:dyDescent="0.3">
      <c r="A18" s="13" t="s">
        <v>217</v>
      </c>
      <c r="B18" s="17">
        <v>-0.05</v>
      </c>
      <c r="C18" s="15" t="s">
        <v>218</v>
      </c>
    </row>
    <row r="19" spans="1:3" x14ac:dyDescent="0.3">
      <c r="A19" s="13" t="s">
        <v>219</v>
      </c>
      <c r="B19" s="17">
        <v>-0.1</v>
      </c>
      <c r="C19" s="15" t="s">
        <v>220</v>
      </c>
    </row>
    <row r="20" spans="1:3" x14ac:dyDescent="0.3">
      <c r="A20" s="13" t="s">
        <v>221</v>
      </c>
      <c r="B20" s="16">
        <v>1.1499999999999999</v>
      </c>
      <c r="C20" s="15" t="s">
        <v>222</v>
      </c>
    </row>
    <row r="21" spans="1:3" x14ac:dyDescent="0.3">
      <c r="A21" s="13" t="s">
        <v>223</v>
      </c>
      <c r="B21" s="17">
        <v>0.1</v>
      </c>
      <c r="C21" s="15" t="s">
        <v>224</v>
      </c>
    </row>
    <row r="22" spans="1:3" x14ac:dyDescent="0.3">
      <c r="A22" s="13" t="s">
        <v>225</v>
      </c>
      <c r="B22" s="16">
        <v>500</v>
      </c>
      <c r="C22" s="15" t="s">
        <v>226</v>
      </c>
    </row>
    <row r="23" spans="1:3" x14ac:dyDescent="0.3">
      <c r="A23" s="13" t="s">
        <v>227</v>
      </c>
      <c r="B23" s="16">
        <v>1.2</v>
      </c>
      <c r="C23" s="15" t="s">
        <v>228</v>
      </c>
    </row>
    <row r="24" spans="1:3" x14ac:dyDescent="0.3">
      <c r="A24" s="13" t="s">
        <v>229</v>
      </c>
      <c r="B24" s="17">
        <v>0.15</v>
      </c>
      <c r="C24" s="15" t="s">
        <v>230</v>
      </c>
    </row>
    <row r="25" spans="1:3" x14ac:dyDescent="0.3">
      <c r="A25" s="13" t="s">
        <v>231</v>
      </c>
      <c r="B25" s="17">
        <v>7.0000000000000007E-2</v>
      </c>
      <c r="C25" s="15" t="s">
        <v>232</v>
      </c>
    </row>
    <row r="26" spans="1:3" x14ac:dyDescent="0.3">
      <c r="A26" s="13" t="s">
        <v>233</v>
      </c>
      <c r="B26" s="16">
        <v>1.1000000000000001</v>
      </c>
      <c r="C26" s="15" t="s">
        <v>234</v>
      </c>
    </row>
    <row r="27" spans="1:3" x14ac:dyDescent="0.3">
      <c r="A27" s="13" t="s">
        <v>235</v>
      </c>
      <c r="B27" s="16">
        <v>7</v>
      </c>
      <c r="C27" s="15" t="s">
        <v>236</v>
      </c>
    </row>
    <row r="28" spans="1:3" x14ac:dyDescent="0.3">
      <c r="A28" s="13" t="s">
        <v>237</v>
      </c>
      <c r="B28" s="16">
        <v>20</v>
      </c>
      <c r="C28" s="15" t="s">
        <v>238</v>
      </c>
    </row>
    <row r="30" spans="1:3" x14ac:dyDescent="0.3">
      <c r="A30" s="18" t="s">
        <v>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workbookViewId="0">
      <selection sqref="A1:I30"/>
    </sheetView>
  </sheetViews>
  <sheetFormatPr defaultRowHeight="14.4" x14ac:dyDescent="0.3"/>
  <cols>
    <col min="1" max="1" width="27.21875" bestFit="1" customWidth="1"/>
    <col min="2" max="2" width="12.33203125" style="2" bestFit="1" customWidth="1"/>
    <col min="3" max="3" width="8.6640625" style="2" bestFit="1" customWidth="1"/>
    <col min="4" max="4" width="9.44140625" style="2" bestFit="1" customWidth="1"/>
    <col min="5" max="5" width="9.33203125" style="2" bestFit="1" customWidth="1"/>
    <col min="6" max="6" width="12.21875" style="2" bestFit="1" customWidth="1"/>
    <col min="7" max="7" width="10.109375" style="2" bestFit="1" customWidth="1"/>
    <col min="8" max="8" width="7.88671875" style="2" bestFit="1" customWidth="1"/>
    <col min="9" max="9" width="9.88671875" style="2" bestFit="1" customWidth="1"/>
    <col min="10" max="10" width="11.109375" bestFit="1" customWidth="1"/>
    <col min="11" max="11" width="11" bestFit="1" customWidth="1"/>
    <col min="12" max="12" width="17" bestFit="1" customWidth="1"/>
    <col min="13" max="13" width="21.6640625" bestFit="1" customWidth="1"/>
    <col min="14" max="14" width="27.6640625" bestFit="1" customWidth="1"/>
  </cols>
  <sheetData>
    <row r="1" spans="1:14" x14ac:dyDescent="0.3">
      <c r="A1" s="19" t="s">
        <v>82</v>
      </c>
      <c r="B1" s="20" t="s">
        <v>83</v>
      </c>
      <c r="C1" s="20" t="s">
        <v>84</v>
      </c>
      <c r="D1" s="20" t="s">
        <v>85</v>
      </c>
      <c r="E1" s="20" t="s">
        <v>86</v>
      </c>
      <c r="F1" s="20" t="s">
        <v>87</v>
      </c>
      <c r="G1" s="20" t="s">
        <v>88</v>
      </c>
      <c r="H1" s="20" t="s">
        <v>89</v>
      </c>
      <c r="I1" s="20" t="s">
        <v>90</v>
      </c>
    </row>
    <row r="2" spans="1:14" x14ac:dyDescent="0.3">
      <c r="A2" s="1" t="s">
        <v>91</v>
      </c>
      <c r="B2" s="21">
        <v>878004</v>
      </c>
      <c r="C2" s="21">
        <v>31794</v>
      </c>
      <c r="D2" s="21">
        <v>30298</v>
      </c>
      <c r="E2" s="21">
        <v>30236</v>
      </c>
      <c r="F2" s="21">
        <v>30810</v>
      </c>
      <c r="G2" s="21">
        <v>34119</v>
      </c>
      <c r="H2" s="21">
        <v>20206</v>
      </c>
      <c r="I2" s="21">
        <v>26516</v>
      </c>
      <c r="J2" s="3"/>
      <c r="K2" s="3"/>
      <c r="L2" s="3"/>
      <c r="M2" s="3"/>
      <c r="N2" s="3">
        <f>M2*G2</f>
        <v>0</v>
      </c>
    </row>
    <row r="3" spans="1:14" x14ac:dyDescent="0.3">
      <c r="A3" s="1" t="s">
        <v>92</v>
      </c>
      <c r="B3" s="21">
        <v>264693</v>
      </c>
      <c r="C3" s="21">
        <v>9585</v>
      </c>
      <c r="D3" s="21">
        <v>9134</v>
      </c>
      <c r="E3" s="21">
        <v>9115</v>
      </c>
      <c r="F3" s="21">
        <v>9288</v>
      </c>
      <c r="G3" s="21">
        <v>10286</v>
      </c>
      <c r="H3" s="21">
        <v>6091</v>
      </c>
      <c r="I3" s="21">
        <v>7994</v>
      </c>
      <c r="J3" s="3"/>
    </row>
    <row r="4" spans="1:14" x14ac:dyDescent="0.3">
      <c r="A4" s="1" t="s">
        <v>93</v>
      </c>
      <c r="B4" s="21">
        <v>184413</v>
      </c>
      <c r="C4" s="21">
        <v>6678</v>
      </c>
      <c r="D4" s="21">
        <v>6364</v>
      </c>
      <c r="E4" s="21">
        <v>6351</v>
      </c>
      <c r="F4" s="21">
        <v>6471</v>
      </c>
      <c r="G4" s="21">
        <v>7166</v>
      </c>
      <c r="H4" s="21">
        <v>4244</v>
      </c>
      <c r="I4" s="21">
        <v>5569</v>
      </c>
      <c r="J4" s="3"/>
    </row>
    <row r="5" spans="1:14" x14ac:dyDescent="0.3">
      <c r="A5" s="1" t="s">
        <v>94</v>
      </c>
      <c r="B5" s="21">
        <v>95406</v>
      </c>
      <c r="C5" s="21">
        <v>3455</v>
      </c>
      <c r="D5" s="21">
        <v>3292</v>
      </c>
      <c r="E5" s="21">
        <v>3286</v>
      </c>
      <c r="F5" s="21">
        <v>3348</v>
      </c>
      <c r="G5" s="21">
        <v>3707</v>
      </c>
      <c r="H5" s="21">
        <v>2196</v>
      </c>
      <c r="I5" s="21">
        <v>2881</v>
      </c>
      <c r="J5" s="3"/>
      <c r="K5" s="4"/>
    </row>
    <row r="6" spans="1:14" x14ac:dyDescent="0.3">
      <c r="A6" s="1" t="s">
        <v>95</v>
      </c>
      <c r="B6" s="21">
        <v>86486</v>
      </c>
      <c r="C6" s="21">
        <v>3132</v>
      </c>
      <c r="D6" s="21">
        <v>2984</v>
      </c>
      <c r="E6" s="21">
        <v>2978</v>
      </c>
      <c r="F6" s="21">
        <v>3035</v>
      </c>
      <c r="G6" s="21">
        <v>3361</v>
      </c>
      <c r="H6" s="21">
        <v>1990</v>
      </c>
      <c r="I6" s="21">
        <v>2612</v>
      </c>
      <c r="J6" s="3"/>
      <c r="K6" s="4"/>
    </row>
    <row r="7" spans="1:14" x14ac:dyDescent="0.3">
      <c r="A7" s="1" t="s">
        <v>96</v>
      </c>
      <c r="B7" s="21">
        <v>36446</v>
      </c>
      <c r="C7" s="21">
        <v>1320</v>
      </c>
      <c r="D7" s="21">
        <v>1258</v>
      </c>
      <c r="E7" s="21">
        <v>1255</v>
      </c>
      <c r="F7" s="21">
        <v>1279</v>
      </c>
      <c r="G7" s="21">
        <v>1416</v>
      </c>
      <c r="H7" s="21">
        <v>839</v>
      </c>
      <c r="I7" s="21">
        <v>1101</v>
      </c>
      <c r="J7" s="3"/>
      <c r="K7" s="4"/>
    </row>
    <row r="8" spans="1:14" x14ac:dyDescent="0.3">
      <c r="A8" s="1" t="s">
        <v>97</v>
      </c>
      <c r="B8" s="21">
        <v>35068</v>
      </c>
      <c r="C8" s="21">
        <v>1270</v>
      </c>
      <c r="D8" s="21">
        <v>1210</v>
      </c>
      <c r="E8" s="21">
        <v>1208</v>
      </c>
      <c r="F8" s="21">
        <v>1231</v>
      </c>
      <c r="G8" s="21">
        <v>1363</v>
      </c>
      <c r="H8" s="21">
        <v>807</v>
      </c>
      <c r="I8" s="21">
        <v>1059</v>
      </c>
      <c r="J8" s="3"/>
      <c r="K8" s="4"/>
    </row>
    <row r="9" spans="1:14" x14ac:dyDescent="0.3">
      <c r="A9" s="1" t="s">
        <v>98</v>
      </c>
      <c r="B9" s="21">
        <v>7513</v>
      </c>
      <c r="C9" s="21">
        <v>272</v>
      </c>
      <c r="D9" s="21">
        <v>259</v>
      </c>
      <c r="E9" s="21">
        <v>259</v>
      </c>
      <c r="F9" s="21">
        <v>264</v>
      </c>
      <c r="G9" s="21">
        <v>292</v>
      </c>
      <c r="H9" s="21">
        <v>173</v>
      </c>
      <c r="I9" s="21">
        <v>227</v>
      </c>
      <c r="J9" s="3"/>
      <c r="K9" s="4"/>
    </row>
    <row r="10" spans="1:14" x14ac:dyDescent="0.3">
      <c r="A10" s="1" t="s">
        <v>99</v>
      </c>
      <c r="B10" s="21">
        <v>5335</v>
      </c>
      <c r="C10" s="21">
        <v>193</v>
      </c>
      <c r="D10" s="21">
        <v>184</v>
      </c>
      <c r="E10" s="21">
        <v>184</v>
      </c>
      <c r="F10" s="21">
        <v>187</v>
      </c>
      <c r="G10" s="21">
        <v>207</v>
      </c>
      <c r="H10" s="21">
        <v>123</v>
      </c>
      <c r="I10" s="21">
        <v>161</v>
      </c>
      <c r="J10" s="3"/>
      <c r="K10" s="4"/>
    </row>
    <row r="11" spans="1:14" x14ac:dyDescent="0.3">
      <c r="A11" s="1" t="s">
        <v>100</v>
      </c>
      <c r="B11" s="21">
        <v>2127</v>
      </c>
      <c r="C11" s="21">
        <v>77</v>
      </c>
      <c r="D11" s="21">
        <v>73</v>
      </c>
      <c r="E11" s="21">
        <v>73</v>
      </c>
      <c r="F11" s="21">
        <v>75</v>
      </c>
      <c r="G11" s="21">
        <v>83</v>
      </c>
      <c r="H11" s="21">
        <v>49</v>
      </c>
      <c r="I11" s="21">
        <v>64</v>
      </c>
      <c r="J11" s="3"/>
      <c r="K11" s="4"/>
    </row>
    <row r="12" spans="1:14" x14ac:dyDescent="0.3">
      <c r="A12" s="1" t="s">
        <v>101</v>
      </c>
      <c r="B12" s="21">
        <v>1556</v>
      </c>
      <c r="C12" s="21">
        <v>56</v>
      </c>
      <c r="D12" s="21">
        <v>54</v>
      </c>
      <c r="E12" s="21">
        <v>54</v>
      </c>
      <c r="F12" s="21">
        <v>55</v>
      </c>
      <c r="G12" s="21">
        <v>60</v>
      </c>
      <c r="H12" s="21">
        <v>36</v>
      </c>
      <c r="I12" s="21">
        <v>47</v>
      </c>
      <c r="J12" s="3"/>
    </row>
    <row r="13" spans="1:14" x14ac:dyDescent="0.3">
      <c r="A13" s="1" t="s">
        <v>102</v>
      </c>
      <c r="B13" s="21">
        <v>948</v>
      </c>
      <c r="C13" s="21">
        <v>34</v>
      </c>
      <c r="D13" s="21">
        <v>33</v>
      </c>
      <c r="E13" s="21">
        <v>33</v>
      </c>
      <c r="F13" s="21">
        <v>33</v>
      </c>
      <c r="G13" s="21">
        <v>37</v>
      </c>
      <c r="H13" s="21">
        <v>22</v>
      </c>
      <c r="I13" s="21">
        <v>29</v>
      </c>
      <c r="J13" s="3"/>
    </row>
    <row r="14" spans="1:14" x14ac:dyDescent="0.3">
      <c r="A14" s="1" t="s">
        <v>103</v>
      </c>
      <c r="B14" s="21">
        <v>581</v>
      </c>
      <c r="C14" s="21">
        <v>21</v>
      </c>
      <c r="D14" s="21">
        <v>20</v>
      </c>
      <c r="E14" s="21">
        <v>20</v>
      </c>
      <c r="F14" s="21">
        <v>20</v>
      </c>
      <c r="G14" s="21">
        <v>23</v>
      </c>
      <c r="H14" s="21">
        <v>13</v>
      </c>
      <c r="I14" s="21">
        <v>18</v>
      </c>
      <c r="J14" s="3"/>
    </row>
    <row r="15" spans="1:14" x14ac:dyDescent="0.3">
      <c r="A15" s="1" t="s">
        <v>104</v>
      </c>
      <c r="B15" s="21">
        <v>543</v>
      </c>
      <c r="C15" s="21">
        <v>20</v>
      </c>
      <c r="D15" s="21">
        <v>19</v>
      </c>
      <c r="E15" s="21">
        <v>19</v>
      </c>
      <c r="F15" s="21">
        <v>19</v>
      </c>
      <c r="G15" s="21">
        <v>21</v>
      </c>
      <c r="H15" s="21">
        <v>13</v>
      </c>
      <c r="I15" s="21">
        <v>16</v>
      </c>
      <c r="J15" s="3"/>
    </row>
    <row r="16" spans="1:14" x14ac:dyDescent="0.3">
      <c r="A16" s="1" t="s">
        <v>105</v>
      </c>
      <c r="B16" s="21">
        <v>397</v>
      </c>
      <c r="C16" s="21">
        <v>14</v>
      </c>
      <c r="D16" s="21">
        <v>14</v>
      </c>
      <c r="E16" s="21">
        <v>14</v>
      </c>
      <c r="F16" s="21">
        <v>14</v>
      </c>
      <c r="G16" s="21">
        <v>15</v>
      </c>
      <c r="H16" s="21">
        <v>9</v>
      </c>
      <c r="I16" s="21">
        <v>12</v>
      </c>
      <c r="J16" s="3"/>
    </row>
    <row r="17" spans="1:10" x14ac:dyDescent="0.3">
      <c r="A17" s="1" t="s">
        <v>106</v>
      </c>
      <c r="B17" s="21">
        <v>164</v>
      </c>
      <c r="C17" s="21">
        <v>6</v>
      </c>
      <c r="D17" s="21">
        <v>6</v>
      </c>
      <c r="E17" s="21">
        <v>6</v>
      </c>
      <c r="F17" s="21">
        <v>6</v>
      </c>
      <c r="G17" s="21">
        <v>6</v>
      </c>
      <c r="H17" s="21">
        <v>4</v>
      </c>
      <c r="I17" s="21">
        <v>5</v>
      </c>
      <c r="J17" s="3"/>
    </row>
    <row r="18" spans="1:10" x14ac:dyDescent="0.3">
      <c r="A18" s="1" t="s">
        <v>107</v>
      </c>
      <c r="B18" s="21">
        <v>90</v>
      </c>
      <c r="C18" s="21">
        <v>3</v>
      </c>
      <c r="D18" s="21">
        <v>3</v>
      </c>
      <c r="E18" s="21">
        <v>3</v>
      </c>
      <c r="F18" s="21">
        <v>3</v>
      </c>
      <c r="G18" s="21">
        <v>4</v>
      </c>
      <c r="H18" s="21">
        <v>2</v>
      </c>
      <c r="I18" s="21">
        <v>3</v>
      </c>
      <c r="J18" s="3"/>
    </row>
    <row r="19" spans="1:10" x14ac:dyDescent="0.3">
      <c r="A19" s="1" t="s">
        <v>108</v>
      </c>
      <c r="B19" s="21">
        <v>53</v>
      </c>
      <c r="C19" s="21">
        <v>2</v>
      </c>
      <c r="D19" s="21">
        <v>2</v>
      </c>
      <c r="E19" s="21">
        <v>2</v>
      </c>
      <c r="F19" s="21">
        <v>2</v>
      </c>
      <c r="G19" s="21">
        <v>2</v>
      </c>
      <c r="H19" s="21">
        <v>1</v>
      </c>
      <c r="I19" s="21">
        <v>2</v>
      </c>
      <c r="J19" s="3"/>
    </row>
    <row r="20" spans="1:10" x14ac:dyDescent="0.3">
      <c r="A20" s="1" t="s">
        <v>109</v>
      </c>
      <c r="B20" s="21">
        <v>52</v>
      </c>
      <c r="C20" s="21">
        <v>2</v>
      </c>
      <c r="D20" s="21">
        <v>2</v>
      </c>
      <c r="E20" s="21">
        <v>2</v>
      </c>
      <c r="F20" s="21">
        <v>2</v>
      </c>
      <c r="G20" s="21">
        <v>2</v>
      </c>
      <c r="H20" s="21">
        <v>1</v>
      </c>
      <c r="I20" s="21">
        <v>2</v>
      </c>
      <c r="J20" s="3"/>
    </row>
    <row r="21" spans="1:10" x14ac:dyDescent="0.3">
      <c r="A21" s="1" t="s">
        <v>110</v>
      </c>
      <c r="B21" s="21">
        <v>39</v>
      </c>
      <c r="C21" s="21">
        <v>1</v>
      </c>
      <c r="D21" s="21">
        <v>1</v>
      </c>
      <c r="E21" s="21">
        <v>1</v>
      </c>
      <c r="F21" s="21">
        <v>1</v>
      </c>
      <c r="G21" s="21">
        <v>2</v>
      </c>
      <c r="H21" s="21">
        <v>1</v>
      </c>
      <c r="I21" s="21">
        <v>1</v>
      </c>
      <c r="J21" s="3"/>
    </row>
    <row r="22" spans="1:10" x14ac:dyDescent="0.3">
      <c r="A22" s="1" t="s">
        <v>111</v>
      </c>
      <c r="B22" s="21">
        <v>32</v>
      </c>
      <c r="C22" s="21">
        <v>1</v>
      </c>
      <c r="D22" s="21">
        <v>1</v>
      </c>
      <c r="E22" s="21">
        <v>1</v>
      </c>
      <c r="F22" s="21">
        <v>1</v>
      </c>
      <c r="G22" s="21">
        <v>1</v>
      </c>
      <c r="H22" s="21">
        <v>1</v>
      </c>
      <c r="I22" s="21">
        <v>1</v>
      </c>
      <c r="J22" s="3"/>
    </row>
    <row r="23" spans="1:10" x14ac:dyDescent="0.3">
      <c r="A23" s="1" t="s">
        <v>112</v>
      </c>
      <c r="B23" s="21">
        <v>19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0</v>
      </c>
      <c r="I23" s="21">
        <v>1</v>
      </c>
      <c r="J23" s="3"/>
    </row>
    <row r="24" spans="1:10" x14ac:dyDescent="0.3">
      <c r="A24" s="1" t="s">
        <v>113</v>
      </c>
      <c r="B24" s="21">
        <v>11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3"/>
    </row>
    <row r="25" spans="1:10" x14ac:dyDescent="0.3">
      <c r="A25" s="1" t="s">
        <v>114</v>
      </c>
      <c r="B25" s="21">
        <v>8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3"/>
    </row>
    <row r="26" spans="1:10" x14ac:dyDescent="0.3">
      <c r="A26" s="1" t="s">
        <v>115</v>
      </c>
      <c r="B26" s="21">
        <v>7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3"/>
    </row>
    <row r="27" spans="1:10" x14ac:dyDescent="0.3">
      <c r="A27" s="1" t="s">
        <v>116</v>
      </c>
      <c r="B27" s="21">
        <v>4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3"/>
    </row>
    <row r="28" spans="1:10" x14ac:dyDescent="0.3">
      <c r="A28" s="1" t="s">
        <v>117</v>
      </c>
      <c r="B28" s="21">
        <v>3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3"/>
    </row>
    <row r="29" spans="1:10" x14ac:dyDescent="0.3">
      <c r="A29" s="1" t="s">
        <v>118</v>
      </c>
      <c r="B29" s="21">
        <v>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3"/>
    </row>
    <row r="30" spans="1:10" x14ac:dyDescent="0.3">
      <c r="A30" s="22" t="s">
        <v>53</v>
      </c>
      <c r="B30" s="23">
        <f t="shared" ref="B30:I30" si="0">SUM(B2:B29)</f>
        <v>1599998</v>
      </c>
      <c r="C30" s="23">
        <f t="shared" si="0"/>
        <v>57937</v>
      </c>
      <c r="D30" s="23">
        <f t="shared" si="0"/>
        <v>55212</v>
      </c>
      <c r="E30" s="23">
        <f t="shared" si="0"/>
        <v>55101</v>
      </c>
      <c r="F30" s="23">
        <f t="shared" si="0"/>
        <v>56145</v>
      </c>
      <c r="G30" s="23">
        <f t="shared" si="0"/>
        <v>62174</v>
      </c>
      <c r="H30" s="23">
        <f t="shared" si="0"/>
        <v>36821</v>
      </c>
      <c r="I30" s="23">
        <f t="shared" si="0"/>
        <v>48321</v>
      </c>
    </row>
  </sheetData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selection activeCell="D30" sqref="D30"/>
    </sheetView>
  </sheetViews>
  <sheetFormatPr defaultRowHeight="14.4" x14ac:dyDescent="0.3"/>
  <cols>
    <col min="1" max="1" width="27.21875" bestFit="1" customWidth="1"/>
    <col min="2" max="9" width="16.5546875" bestFit="1" customWidth="1"/>
    <col min="10" max="10" width="27.33203125" style="5" bestFit="1" customWidth="1"/>
  </cols>
  <sheetData>
    <row r="1" spans="1:10" x14ac:dyDescent="0.3">
      <c r="A1" s="19" t="s">
        <v>119</v>
      </c>
      <c r="B1" s="19" t="s">
        <v>120</v>
      </c>
      <c r="C1" s="19" t="s">
        <v>84</v>
      </c>
      <c r="D1" s="19" t="s">
        <v>85</v>
      </c>
      <c r="E1" s="19" t="s">
        <v>86</v>
      </c>
      <c r="F1" s="19" t="s">
        <v>87</v>
      </c>
      <c r="G1" s="19" t="s">
        <v>88</v>
      </c>
      <c r="H1" s="19" t="s">
        <v>89</v>
      </c>
      <c r="I1" s="19" t="s">
        <v>90</v>
      </c>
      <c r="J1" s="24" t="s">
        <v>121</v>
      </c>
    </row>
    <row r="2" spans="1:10" x14ac:dyDescent="0.3">
      <c r="A2" s="1" t="s">
        <v>91</v>
      </c>
      <c r="B2" s="25">
        <v>77008.114134701202</v>
      </c>
      <c r="C2" s="25">
        <v>2788.60168407934</v>
      </c>
      <c r="D2" s="25">
        <v>2657.3384206600299</v>
      </c>
      <c r="E2" s="25">
        <v>2651.96260121656</v>
      </c>
      <c r="F2" s="25">
        <v>2702.2929763545199</v>
      </c>
      <c r="G2" s="25">
        <v>2992.5027701223298</v>
      </c>
      <c r="H2" s="25">
        <v>1772.2101164928299</v>
      </c>
      <c r="I2" s="25">
        <v>2325.63493856486</v>
      </c>
      <c r="J2" s="26">
        <v>8.7708136927214603E-2</v>
      </c>
    </row>
    <row r="3" spans="1:10" x14ac:dyDescent="0.3">
      <c r="A3" s="1" t="s">
        <v>92</v>
      </c>
      <c r="B3" s="25">
        <v>13327.635813491501</v>
      </c>
      <c r="C3" s="25">
        <v>482.61755390203899</v>
      </c>
      <c r="D3" s="25">
        <v>459.90009107100798</v>
      </c>
      <c r="E3" s="25">
        <v>458.96970906455601</v>
      </c>
      <c r="F3" s="25">
        <v>467.68028349859401</v>
      </c>
      <c r="G3" s="25">
        <v>517.90629518978199</v>
      </c>
      <c r="H3" s="25">
        <v>306.71275725941302</v>
      </c>
      <c r="I3" s="25">
        <v>402.492852144229</v>
      </c>
      <c r="J3" s="26">
        <v>5.03512224789208E-2</v>
      </c>
    </row>
    <row r="4" spans="1:10" x14ac:dyDescent="0.3">
      <c r="A4" s="1" t="s">
        <v>93</v>
      </c>
      <c r="B4" s="25">
        <v>10626.909885978899</v>
      </c>
      <c r="C4" s="25">
        <v>384.81943282969399</v>
      </c>
      <c r="D4" s="25">
        <v>366.70546020005099</v>
      </c>
      <c r="E4" s="25">
        <v>365.96361176718102</v>
      </c>
      <c r="F4" s="25">
        <v>372.90906637451002</v>
      </c>
      <c r="G4" s="25">
        <v>412.95722702683503</v>
      </c>
      <c r="H4" s="25">
        <v>244.56016640073699</v>
      </c>
      <c r="I4" s="25">
        <v>320.93128363827998</v>
      </c>
      <c r="J4" s="26">
        <v>5.7625601001245301E-2</v>
      </c>
    </row>
    <row r="5" spans="1:10" x14ac:dyDescent="0.3">
      <c r="A5" s="1" t="s">
        <v>95</v>
      </c>
      <c r="B5" s="25">
        <v>3055.6138539778499</v>
      </c>
      <c r="C5" s="25">
        <v>110.649248262257</v>
      </c>
      <c r="D5" s="25">
        <v>105.440838074198</v>
      </c>
      <c r="E5" s="25">
        <v>105.227530313678</v>
      </c>
      <c r="F5" s="25">
        <v>107.224595081145</v>
      </c>
      <c r="G5" s="25">
        <v>118.739863002728</v>
      </c>
      <c r="H5" s="25">
        <v>70.319729874738101</v>
      </c>
      <c r="I5" s="25">
        <v>92.279137301604393</v>
      </c>
      <c r="J5" s="26">
        <v>3.5330560567591603E-2</v>
      </c>
    </row>
    <row r="6" spans="1:10" x14ac:dyDescent="0.3">
      <c r="A6" s="1" t="s">
        <v>97</v>
      </c>
      <c r="B6" s="25">
        <v>2363.2191994997102</v>
      </c>
      <c r="C6" s="25">
        <v>85.5763981967701</v>
      </c>
      <c r="D6" s="25">
        <v>81.548201067323703</v>
      </c>
      <c r="E6" s="25">
        <v>81.383228325624799</v>
      </c>
      <c r="F6" s="25">
        <v>82.927763082520698</v>
      </c>
      <c r="G6" s="25">
        <v>91.833699349383494</v>
      </c>
      <c r="H6" s="25">
        <v>54.385450415233997</v>
      </c>
      <c r="I6" s="25">
        <v>71.368909622047397</v>
      </c>
      <c r="J6" s="26">
        <v>6.7389181670245005E-2</v>
      </c>
    </row>
    <row r="7" spans="1:10" x14ac:dyDescent="0.3">
      <c r="A7" s="1" t="s">
        <v>94</v>
      </c>
      <c r="B7" s="25">
        <v>2279.4468317811202</v>
      </c>
      <c r="C7" s="25">
        <v>82.542850780055602</v>
      </c>
      <c r="D7" s="25">
        <v>78.657446841880699</v>
      </c>
      <c r="E7" s="25">
        <v>78.498322121890595</v>
      </c>
      <c r="F7" s="25">
        <v>79.988105574448596</v>
      </c>
      <c r="G7" s="25">
        <v>88.578340543698403</v>
      </c>
      <c r="H7" s="25">
        <v>52.457572564677001</v>
      </c>
      <c r="I7" s="25">
        <v>68.838995113144094</v>
      </c>
      <c r="J7" s="26">
        <v>2.389197110994E-2</v>
      </c>
    </row>
    <row r="8" spans="1:10" x14ac:dyDescent="0.3">
      <c r="A8" s="1" t="s">
        <v>96</v>
      </c>
      <c r="B8" s="25">
        <v>692.31501451095096</v>
      </c>
      <c r="C8" s="25">
        <v>25.069966159691901</v>
      </c>
      <c r="D8" s="25">
        <v>23.889888850436702</v>
      </c>
      <c r="E8" s="25">
        <v>23.841559391160398</v>
      </c>
      <c r="F8" s="25">
        <v>24.2940373512496</v>
      </c>
      <c r="G8" s="25">
        <v>26.903068877877299</v>
      </c>
      <c r="H8" s="25">
        <v>15.9324466817882</v>
      </c>
      <c r="I8" s="25">
        <v>20.907822563001599</v>
      </c>
      <c r="J8" s="26">
        <v>1.8995439997115698E-2</v>
      </c>
    </row>
    <row r="9" spans="1:10" x14ac:dyDescent="0.3">
      <c r="A9" s="1" t="s">
        <v>100</v>
      </c>
      <c r="B9" s="25">
        <v>275.44382835296801</v>
      </c>
      <c r="C9" s="25">
        <v>9.97431416474884</v>
      </c>
      <c r="D9" s="25">
        <v>9.5048096689618795</v>
      </c>
      <c r="E9" s="25">
        <v>9.4855813538072606</v>
      </c>
      <c r="F9" s="25">
        <v>9.6656038276233591</v>
      </c>
      <c r="G9" s="25">
        <v>10.703630761786499</v>
      </c>
      <c r="H9" s="25">
        <v>6.33886889216362</v>
      </c>
      <c r="I9" s="25">
        <v>8.3183674607227704</v>
      </c>
      <c r="J9" s="26">
        <v>0.12951394541632799</v>
      </c>
    </row>
    <row r="10" spans="1:10" x14ac:dyDescent="0.3">
      <c r="A10" s="1" t="s">
        <v>99</v>
      </c>
      <c r="B10" s="25">
        <v>151.399733137022</v>
      </c>
      <c r="C10" s="25">
        <v>5.4824553949804198</v>
      </c>
      <c r="D10" s="25">
        <v>5.2243887837449403</v>
      </c>
      <c r="E10" s="25">
        <v>5.2138197984077497</v>
      </c>
      <c r="F10" s="25">
        <v>5.3127704797767903</v>
      </c>
      <c r="G10" s="25">
        <v>5.8833296451829398</v>
      </c>
      <c r="H10" s="25">
        <v>3.4842060699008601</v>
      </c>
      <c r="I10" s="25">
        <v>4.5722520675803802</v>
      </c>
      <c r="J10" s="26">
        <v>2.8376290563909799E-2</v>
      </c>
    </row>
    <row r="11" spans="1:10" x14ac:dyDescent="0.3">
      <c r="A11" s="1" t="s">
        <v>98</v>
      </c>
      <c r="B11" s="25">
        <v>140.10382099207601</v>
      </c>
      <c r="C11" s="25">
        <v>5.0734101926072004</v>
      </c>
      <c r="D11" s="25">
        <v>4.83459789383092</v>
      </c>
      <c r="E11" s="25">
        <v>4.8248174589578303</v>
      </c>
      <c r="F11" s="25">
        <v>4.9163854443321799</v>
      </c>
      <c r="G11" s="25">
        <v>5.4443752731062203</v>
      </c>
      <c r="H11" s="25">
        <v>3.2242499600385699</v>
      </c>
      <c r="I11" s="25">
        <v>4.2311170035364203</v>
      </c>
      <c r="J11" s="26">
        <v>1.8647977800330701E-2</v>
      </c>
    </row>
    <row r="12" spans="1:10" x14ac:dyDescent="0.3">
      <c r="A12" s="1" t="s">
        <v>101</v>
      </c>
      <c r="B12" s="25">
        <v>47.8551534940528</v>
      </c>
      <c r="C12" s="25">
        <v>1.73292078535989</v>
      </c>
      <c r="D12" s="25">
        <v>1.65134985365167</v>
      </c>
      <c r="E12" s="25">
        <v>1.64800915809621</v>
      </c>
      <c r="F12" s="25">
        <v>1.67928596385498</v>
      </c>
      <c r="G12" s="25">
        <v>1.85963104024451</v>
      </c>
      <c r="H12" s="25">
        <v>1.1013045586356101</v>
      </c>
      <c r="I12" s="25">
        <v>1.4452193539174401</v>
      </c>
      <c r="J12" s="26">
        <v>3.07620771187255E-2</v>
      </c>
    </row>
    <row r="13" spans="1:10" x14ac:dyDescent="0.3">
      <c r="A13" s="1" t="s">
        <v>105</v>
      </c>
      <c r="B13" s="25">
        <v>8.0516682766061898</v>
      </c>
      <c r="C13" s="25">
        <v>0.29156532357769499</v>
      </c>
      <c r="D13" s="25">
        <v>0.27784094835006201</v>
      </c>
      <c r="E13" s="25">
        <v>0.27727887362118198</v>
      </c>
      <c r="F13" s="25">
        <v>0.28254122148415101</v>
      </c>
      <c r="G13" s="25">
        <v>0.31288442643465098</v>
      </c>
      <c r="H13" s="25">
        <v>0.18529538263313899</v>
      </c>
      <c r="I13" s="25">
        <v>0.24315932506873</v>
      </c>
      <c r="J13" s="26">
        <v>2.0287547372955499E-2</v>
      </c>
    </row>
    <row r="14" spans="1:10" x14ac:dyDescent="0.3">
      <c r="A14" s="1" t="s">
        <v>104</v>
      </c>
      <c r="B14" s="25">
        <v>7.2234932933610896</v>
      </c>
      <c r="C14" s="25">
        <v>0.261575624713624</v>
      </c>
      <c r="D14" s="25">
        <v>0.24926290528622</v>
      </c>
      <c r="E14" s="25">
        <v>0.24875864419461199</v>
      </c>
      <c r="F14" s="25">
        <v>0.253479719776667</v>
      </c>
      <c r="G14" s="25">
        <v>0.28070189658887401</v>
      </c>
      <c r="H14" s="25">
        <v>0.16623635099699199</v>
      </c>
      <c r="I14" s="25">
        <v>0.218148549283321</v>
      </c>
      <c r="J14" s="26">
        <v>1.32944639332227E-2</v>
      </c>
    </row>
    <row r="15" spans="1:10" x14ac:dyDescent="0.3">
      <c r="A15" s="1" t="s">
        <v>102</v>
      </c>
      <c r="B15" s="25">
        <v>6.5869654443963803</v>
      </c>
      <c r="C15" s="25">
        <v>0.23852581169675699</v>
      </c>
      <c r="D15" s="25">
        <v>0.22729807823026499</v>
      </c>
      <c r="E15" s="25">
        <v>0.226838252180668</v>
      </c>
      <c r="F15" s="25">
        <v>0.231143310752254</v>
      </c>
      <c r="G15" s="25">
        <v>0.255966693387364</v>
      </c>
      <c r="H15" s="25">
        <v>0.151587750572997</v>
      </c>
      <c r="I15" s="25">
        <v>0.198925491797035</v>
      </c>
      <c r="J15" s="26">
        <v>6.9499132887050098E-3</v>
      </c>
    </row>
    <row r="16" spans="1:10" x14ac:dyDescent="0.3">
      <c r="A16" s="1" t="s">
        <v>103</v>
      </c>
      <c r="B16" s="25">
        <v>5.6279575998102098</v>
      </c>
      <c r="C16" s="25">
        <v>0.20379842068727899</v>
      </c>
      <c r="D16" s="25">
        <v>0.19420535261597999</v>
      </c>
      <c r="E16" s="25">
        <v>0.19381247344691999</v>
      </c>
      <c r="F16" s="25">
        <v>0.19749075099522501</v>
      </c>
      <c r="G16" s="25">
        <v>0.21870005384242899</v>
      </c>
      <c r="H16" s="25">
        <v>0.129517824266286</v>
      </c>
      <c r="I16" s="25">
        <v>0.169963580772618</v>
      </c>
      <c r="J16" s="26">
        <v>9.6793281477102998E-3</v>
      </c>
    </row>
    <row r="17" spans="1:10" x14ac:dyDescent="0.3">
      <c r="A17" s="1" t="s">
        <v>108</v>
      </c>
      <c r="B17" s="25">
        <v>3.2171024178907199</v>
      </c>
      <c r="C17" s="25">
        <v>0.116497038282141</v>
      </c>
      <c r="D17" s="25">
        <v>0.111013364686553</v>
      </c>
      <c r="E17" s="25">
        <v>0.11078878365474799</v>
      </c>
      <c r="F17" s="25">
        <v>0.11289139288455501</v>
      </c>
      <c r="G17" s="25">
        <v>0.125015240348121</v>
      </c>
      <c r="H17" s="25">
        <v>7.4036113140060894E-2</v>
      </c>
      <c r="I17" s="25">
        <v>9.7156070734326694E-2</v>
      </c>
      <c r="J17" s="26">
        <v>6.1035172747063E-2</v>
      </c>
    </row>
    <row r="18" spans="1:10" x14ac:dyDescent="0.3">
      <c r="A18" s="1" t="s">
        <v>106</v>
      </c>
      <c r="B18" s="25">
        <v>0.60424780855712801</v>
      </c>
      <c r="C18" s="25">
        <v>2.1880894961228001E-2</v>
      </c>
      <c r="D18" s="25">
        <v>2.0850931558586701E-2</v>
      </c>
      <c r="E18" s="25">
        <v>2.0808749937150799E-2</v>
      </c>
      <c r="F18" s="25">
        <v>2.12036696053273E-2</v>
      </c>
      <c r="G18" s="25">
        <v>2.3480814473454799E-2</v>
      </c>
      <c r="H18" s="25">
        <v>1.39057304704339E-2</v>
      </c>
      <c r="I18" s="25">
        <v>1.82482045031469E-2</v>
      </c>
      <c r="J18" s="26">
        <v>3.6946735287598201E-3</v>
      </c>
    </row>
    <row r="19" spans="1:10" x14ac:dyDescent="0.3">
      <c r="A19" s="1" t="s">
        <v>112</v>
      </c>
      <c r="B19" s="25">
        <v>0.49549335565595698</v>
      </c>
      <c r="C19" s="25">
        <v>1.7942701513445999E-2</v>
      </c>
      <c r="D19" s="25">
        <v>1.7098114217719999E-2</v>
      </c>
      <c r="E19" s="25">
        <v>1.70635245794023E-2</v>
      </c>
      <c r="F19" s="25">
        <v>1.7387365342791301E-2</v>
      </c>
      <c r="G19" s="25">
        <v>1.9254662395498098E-2</v>
      </c>
      <c r="H19" s="25">
        <v>1.1402932631391E-2</v>
      </c>
      <c r="I19" s="25">
        <v>1.4963834300949001E-2</v>
      </c>
      <c r="J19" s="26">
        <v>2.5791244396687101E-2</v>
      </c>
    </row>
    <row r="20" spans="1:10" x14ac:dyDescent="0.3">
      <c r="A20" s="1" t="s">
        <v>111</v>
      </c>
      <c r="B20" s="25">
        <v>0.135801886317787</v>
      </c>
      <c r="C20" s="25">
        <v>4.9176294360944797E-3</v>
      </c>
      <c r="D20" s="25">
        <v>4.68614994881098E-3</v>
      </c>
      <c r="E20" s="25">
        <v>4.6766698254612398E-3</v>
      </c>
      <c r="F20" s="25">
        <v>4.7654261852243399E-3</v>
      </c>
      <c r="G20" s="25">
        <v>5.2772039097460401E-3</v>
      </c>
      <c r="H20" s="25">
        <v>3.1252482868261901E-3</v>
      </c>
      <c r="I20" s="25">
        <v>4.10119914105702E-3</v>
      </c>
      <c r="J20" s="26">
        <v>4.3074961419556704E-3</v>
      </c>
    </row>
    <row r="21" spans="1:10" x14ac:dyDescent="0.3">
      <c r="A21" s="22" t="s">
        <v>53</v>
      </c>
      <c r="B21" s="27">
        <f t="shared" ref="B21:I21" si="0">SUM(B2:B20)</f>
        <v>109999.99999999997</v>
      </c>
      <c r="C21" s="27">
        <f t="shared" si="0"/>
        <v>3983.2969381924122</v>
      </c>
      <c r="D21" s="27">
        <f t="shared" si="0"/>
        <v>3795.7977488100109</v>
      </c>
      <c r="E21" s="27">
        <f t="shared" si="0"/>
        <v>3788.1188159413605</v>
      </c>
      <c r="F21" s="27">
        <f t="shared" si="0"/>
        <v>3860.0117758896013</v>
      </c>
      <c r="G21" s="27">
        <f t="shared" si="0"/>
        <v>4274.5535118243342</v>
      </c>
      <c r="H21" s="27">
        <f t="shared" si="0"/>
        <v>2531.4619765031539</v>
      </c>
      <c r="I21" s="27">
        <f t="shared" si="0"/>
        <v>3321.9855610885238</v>
      </c>
      <c r="J21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>
      <selection activeCell="C11" sqref="C11"/>
    </sheetView>
  </sheetViews>
  <sheetFormatPr defaultRowHeight="14.4" x14ac:dyDescent="0.3"/>
  <cols>
    <col min="1" max="1" width="43.33203125" bestFit="1" customWidth="1"/>
    <col min="2" max="2" width="13.21875" bestFit="1" customWidth="1"/>
    <col min="3" max="3" width="26" bestFit="1" customWidth="1"/>
    <col min="4" max="4" width="23.5546875" bestFit="1" customWidth="1"/>
    <col min="5" max="5" width="23.6640625" bestFit="1" customWidth="1"/>
    <col min="6" max="6" width="15.44140625" bestFit="1" customWidth="1"/>
    <col min="7" max="7" width="15.5546875" bestFit="1" customWidth="1"/>
    <col min="8" max="8" width="21.33203125" bestFit="1" customWidth="1"/>
    <col min="9" max="9" width="22.77734375" bestFit="1" customWidth="1"/>
  </cols>
  <sheetData>
    <row r="1" spans="1:9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245</v>
      </c>
      <c r="I1" s="20" t="s">
        <v>246</v>
      </c>
    </row>
    <row r="2" spans="1:9" x14ac:dyDescent="0.3">
      <c r="A2" s="32" t="s">
        <v>7</v>
      </c>
      <c r="B2" s="32" t="s">
        <v>8</v>
      </c>
      <c r="C2" s="33">
        <v>1419</v>
      </c>
      <c r="D2" s="34">
        <v>26630.162703379199</v>
      </c>
      <c r="E2" s="34">
        <v>1886.7334167709701</v>
      </c>
      <c r="F2" s="35">
        <v>0.17753441802252801</v>
      </c>
      <c r="G2" s="35">
        <v>1.25782227784731E-2</v>
      </c>
      <c r="H2" s="36">
        <f t="shared" ref="H2:H26" si="0">ROUND(D2/22,0)</f>
        <v>1210</v>
      </c>
      <c r="I2" s="37">
        <f t="shared" ref="I2:I26" si="1">ROUND(E2/8,0)</f>
        <v>236</v>
      </c>
    </row>
    <row r="3" spans="1:9" x14ac:dyDescent="0.3">
      <c r="A3" s="32" t="s">
        <v>9</v>
      </c>
      <c r="B3" s="32" t="s">
        <v>10</v>
      </c>
      <c r="C3" s="33">
        <v>655</v>
      </c>
      <c r="D3" s="34">
        <v>25090.738423028801</v>
      </c>
      <c r="E3" s="34">
        <v>403.62953692115201</v>
      </c>
      <c r="F3" s="35">
        <v>0.167271589486859</v>
      </c>
      <c r="G3" s="35">
        <v>2.69086357947434E-3</v>
      </c>
      <c r="H3" s="36">
        <f t="shared" si="0"/>
        <v>1140</v>
      </c>
      <c r="I3" s="37">
        <f t="shared" si="1"/>
        <v>50</v>
      </c>
    </row>
    <row r="4" spans="1:9" x14ac:dyDescent="0.3">
      <c r="A4" s="32" t="s">
        <v>11</v>
      </c>
      <c r="B4" s="32" t="s">
        <v>10</v>
      </c>
      <c r="C4" s="33">
        <v>725</v>
      </c>
      <c r="D4" s="34">
        <v>19909.261576971199</v>
      </c>
      <c r="E4" s="34">
        <v>488.11013767208999</v>
      </c>
      <c r="F4" s="35">
        <v>0.13272841051314099</v>
      </c>
      <c r="G4" s="35">
        <v>3.2540675844806E-3</v>
      </c>
      <c r="H4" s="36">
        <f t="shared" si="0"/>
        <v>905</v>
      </c>
      <c r="I4" s="37">
        <f t="shared" si="1"/>
        <v>61</v>
      </c>
    </row>
    <row r="5" spans="1:9" x14ac:dyDescent="0.3">
      <c r="A5" s="32" t="s">
        <v>12</v>
      </c>
      <c r="B5" s="32" t="s">
        <v>13</v>
      </c>
      <c r="C5" s="33">
        <v>313</v>
      </c>
      <c r="D5" s="34">
        <v>13488.7359198999</v>
      </c>
      <c r="E5" s="34">
        <v>901.12640801001396</v>
      </c>
      <c r="F5" s="35">
        <v>8.9924906132665794E-2</v>
      </c>
      <c r="G5" s="35">
        <v>6.0075093867334199E-3</v>
      </c>
      <c r="H5" s="36">
        <f t="shared" si="0"/>
        <v>613</v>
      </c>
      <c r="I5" s="37">
        <f t="shared" si="1"/>
        <v>113</v>
      </c>
    </row>
    <row r="6" spans="1:9" x14ac:dyDescent="0.3">
      <c r="A6" s="32" t="s">
        <v>14</v>
      </c>
      <c r="B6" s="32" t="s">
        <v>15</v>
      </c>
      <c r="C6" s="33">
        <v>465</v>
      </c>
      <c r="D6" s="34">
        <v>11939.924906132699</v>
      </c>
      <c r="E6" s="34">
        <v>910.51314142678405</v>
      </c>
      <c r="F6" s="35">
        <v>7.95994993742178E-2</v>
      </c>
      <c r="G6" s="35">
        <v>6.0700876095118898E-3</v>
      </c>
      <c r="H6" s="36">
        <f t="shared" si="0"/>
        <v>543</v>
      </c>
      <c r="I6" s="37">
        <f t="shared" si="1"/>
        <v>114</v>
      </c>
    </row>
    <row r="7" spans="1:9" x14ac:dyDescent="0.3">
      <c r="A7" s="32" t="s">
        <v>16</v>
      </c>
      <c r="B7" s="32" t="s">
        <v>17</v>
      </c>
      <c r="C7" s="33">
        <v>562</v>
      </c>
      <c r="D7" s="34">
        <v>9574.4680851063895</v>
      </c>
      <c r="E7" s="34">
        <v>131.414267834794</v>
      </c>
      <c r="F7" s="35">
        <v>6.3829787234042604E-2</v>
      </c>
      <c r="G7" s="35">
        <v>8.7609511889862296E-4</v>
      </c>
      <c r="H7" s="36">
        <f t="shared" si="0"/>
        <v>435</v>
      </c>
      <c r="I7" s="37">
        <f t="shared" si="1"/>
        <v>16</v>
      </c>
    </row>
    <row r="8" spans="1:9" x14ac:dyDescent="0.3">
      <c r="A8" s="32" t="s">
        <v>18</v>
      </c>
      <c r="B8" s="32" t="s">
        <v>19</v>
      </c>
      <c r="C8" s="33">
        <v>412</v>
      </c>
      <c r="D8" s="34">
        <v>9386.7334167709705</v>
      </c>
      <c r="E8" s="34">
        <v>234.668335419275</v>
      </c>
      <c r="F8" s="35">
        <v>6.2578222778473094E-2</v>
      </c>
      <c r="G8" s="35">
        <v>1.5644555694618301E-3</v>
      </c>
      <c r="H8" s="36">
        <f t="shared" si="0"/>
        <v>427</v>
      </c>
      <c r="I8" s="37">
        <f t="shared" si="1"/>
        <v>29</v>
      </c>
    </row>
    <row r="9" spans="1:9" x14ac:dyDescent="0.3">
      <c r="A9" s="32" t="s">
        <v>20</v>
      </c>
      <c r="B9" s="32" t="s">
        <v>21</v>
      </c>
      <c r="C9" s="33">
        <v>398</v>
      </c>
      <c r="D9" s="34">
        <v>5528.7859824780999</v>
      </c>
      <c r="E9" s="34">
        <v>328.53566958698298</v>
      </c>
      <c r="F9" s="35">
        <v>3.6858573216520703E-2</v>
      </c>
      <c r="G9" s="35">
        <v>2.1902377972465598E-3</v>
      </c>
      <c r="H9" s="36">
        <f t="shared" si="0"/>
        <v>251</v>
      </c>
      <c r="I9" s="37">
        <f t="shared" si="1"/>
        <v>41</v>
      </c>
    </row>
    <row r="10" spans="1:9" x14ac:dyDescent="0.3">
      <c r="A10" s="32" t="s">
        <v>22</v>
      </c>
      <c r="B10" s="32" t="s">
        <v>23</v>
      </c>
      <c r="C10" s="33">
        <v>250</v>
      </c>
      <c r="D10" s="34">
        <v>4064.4555694618298</v>
      </c>
      <c r="E10" s="34">
        <v>9.3867334167709693</v>
      </c>
      <c r="F10" s="35">
        <v>2.70963704630789E-2</v>
      </c>
      <c r="G10" s="35">
        <v>6.2578222778473101E-5</v>
      </c>
      <c r="H10" s="36">
        <f t="shared" si="0"/>
        <v>185</v>
      </c>
      <c r="I10" s="37">
        <f t="shared" si="1"/>
        <v>1</v>
      </c>
    </row>
    <row r="11" spans="1:9" x14ac:dyDescent="0.3">
      <c r="A11" s="32" t="s">
        <v>24</v>
      </c>
      <c r="B11" s="32" t="s">
        <v>25</v>
      </c>
      <c r="C11" s="33">
        <v>164</v>
      </c>
      <c r="D11" s="34">
        <v>3097.6220275344199</v>
      </c>
      <c r="E11" s="34">
        <v>28.160200250312801</v>
      </c>
      <c r="F11" s="35">
        <v>2.0650813516896099E-2</v>
      </c>
      <c r="G11" s="35">
        <v>1.8773466833541899E-4</v>
      </c>
      <c r="H11" s="36">
        <f t="shared" si="0"/>
        <v>141</v>
      </c>
      <c r="I11" s="37">
        <f t="shared" si="1"/>
        <v>4</v>
      </c>
    </row>
    <row r="12" spans="1:9" x14ac:dyDescent="0.3">
      <c r="A12" s="32" t="s">
        <v>26</v>
      </c>
      <c r="B12" s="32" t="s">
        <v>27</v>
      </c>
      <c r="C12" s="33">
        <v>169</v>
      </c>
      <c r="D12" s="34">
        <v>2196.4956195243999</v>
      </c>
      <c r="E12" s="34">
        <v>197.12140175219</v>
      </c>
      <c r="F12" s="35">
        <v>1.4643304130162699E-2</v>
      </c>
      <c r="G12" s="35">
        <v>1.31414267834794E-3</v>
      </c>
      <c r="H12" s="36">
        <f t="shared" si="0"/>
        <v>100</v>
      </c>
      <c r="I12" s="37">
        <f t="shared" si="1"/>
        <v>25</v>
      </c>
    </row>
    <row r="13" spans="1:9" x14ac:dyDescent="0.3">
      <c r="A13" s="32" t="s">
        <v>28</v>
      </c>
      <c r="B13" s="32" t="s">
        <v>29</v>
      </c>
      <c r="C13" s="33">
        <v>145</v>
      </c>
      <c r="D13" s="34">
        <v>1821.0262828535699</v>
      </c>
      <c r="E13" s="34">
        <v>788.48560700876203</v>
      </c>
      <c r="F13" s="35">
        <v>1.21401752190238E-2</v>
      </c>
      <c r="G13" s="35">
        <v>5.2565707133917401E-3</v>
      </c>
      <c r="H13" s="36">
        <f t="shared" si="0"/>
        <v>83</v>
      </c>
      <c r="I13" s="37">
        <f t="shared" si="1"/>
        <v>99</v>
      </c>
    </row>
    <row r="14" spans="1:9" x14ac:dyDescent="0.3">
      <c r="A14" s="32" t="s">
        <v>30</v>
      </c>
      <c r="B14" s="32" t="s">
        <v>31</v>
      </c>
      <c r="C14" s="33">
        <v>160</v>
      </c>
      <c r="D14" s="34">
        <v>1708.38548185232</v>
      </c>
      <c r="E14" s="34">
        <v>563.20400500625897</v>
      </c>
      <c r="F14" s="35">
        <v>1.1389236545682101E-2</v>
      </c>
      <c r="G14" s="35">
        <v>3.7546933667083901E-3</v>
      </c>
      <c r="H14" s="36">
        <f t="shared" si="0"/>
        <v>78</v>
      </c>
      <c r="I14" s="37">
        <f t="shared" si="1"/>
        <v>70</v>
      </c>
    </row>
    <row r="15" spans="1:9" x14ac:dyDescent="0.3">
      <c r="A15" s="32" t="s">
        <v>32</v>
      </c>
      <c r="B15" s="32" t="s">
        <v>33</v>
      </c>
      <c r="C15" s="33">
        <v>66</v>
      </c>
      <c r="D15" s="34">
        <v>1548.8110137672099</v>
      </c>
      <c r="E15" s="34">
        <v>28.160200250312801</v>
      </c>
      <c r="F15" s="35">
        <v>1.03254067584481E-2</v>
      </c>
      <c r="G15" s="35">
        <v>1.8773466833541899E-4</v>
      </c>
      <c r="H15" s="36">
        <f t="shared" si="0"/>
        <v>70</v>
      </c>
      <c r="I15" s="37">
        <f t="shared" si="1"/>
        <v>4</v>
      </c>
    </row>
    <row r="16" spans="1:9" x14ac:dyDescent="0.3">
      <c r="A16" s="32" t="s">
        <v>34</v>
      </c>
      <c r="B16" s="32" t="s">
        <v>35</v>
      </c>
      <c r="C16" s="33">
        <v>95</v>
      </c>
      <c r="D16" s="34">
        <v>1548.8110137672099</v>
      </c>
      <c r="E16" s="34">
        <v>93.8673341677097</v>
      </c>
      <c r="F16" s="35">
        <v>1.03254067584481E-2</v>
      </c>
      <c r="G16" s="35">
        <v>6.2578222778473104E-4</v>
      </c>
      <c r="H16" s="36">
        <f t="shared" si="0"/>
        <v>70</v>
      </c>
      <c r="I16" s="37">
        <f t="shared" si="1"/>
        <v>12</v>
      </c>
    </row>
    <row r="17" spans="1:9" x14ac:dyDescent="0.3">
      <c r="A17" s="32" t="s">
        <v>36</v>
      </c>
      <c r="B17" s="32" t="s">
        <v>37</v>
      </c>
      <c r="C17" s="33">
        <v>84</v>
      </c>
      <c r="D17" s="34">
        <v>994.99374217772197</v>
      </c>
      <c r="E17" s="34">
        <v>65.707133917396902</v>
      </c>
      <c r="F17" s="35">
        <v>6.6332916145181503E-3</v>
      </c>
      <c r="G17" s="35">
        <v>4.3804755944931202E-4</v>
      </c>
      <c r="H17" s="36">
        <f t="shared" si="0"/>
        <v>45</v>
      </c>
      <c r="I17" s="37">
        <f t="shared" si="1"/>
        <v>8</v>
      </c>
    </row>
    <row r="18" spans="1:9" x14ac:dyDescent="0.3">
      <c r="A18" s="32" t="s">
        <v>38</v>
      </c>
      <c r="B18" s="32" t="s">
        <v>39</v>
      </c>
      <c r="C18" s="33">
        <v>77</v>
      </c>
      <c r="D18" s="34">
        <v>910.51314142678405</v>
      </c>
      <c r="E18" s="34">
        <v>75.093867334167697</v>
      </c>
      <c r="F18" s="35">
        <v>6.0700876095118898E-3</v>
      </c>
      <c r="G18" s="35">
        <v>5.0062578222778503E-4</v>
      </c>
      <c r="H18" s="36">
        <f t="shared" si="0"/>
        <v>41</v>
      </c>
      <c r="I18" s="37">
        <f t="shared" si="1"/>
        <v>9</v>
      </c>
    </row>
    <row r="19" spans="1:9" x14ac:dyDescent="0.3">
      <c r="A19" s="32" t="s">
        <v>40</v>
      </c>
      <c r="B19" s="32" t="s">
        <v>15</v>
      </c>
      <c r="C19" s="33">
        <v>63</v>
      </c>
      <c r="D19" s="34">
        <v>816.64580725907399</v>
      </c>
      <c r="E19" s="34">
        <v>103.25406758448101</v>
      </c>
      <c r="F19" s="35">
        <v>5.4443053817271603E-3</v>
      </c>
      <c r="G19" s="35">
        <v>6.8836045056320399E-4</v>
      </c>
      <c r="H19" s="36">
        <f t="shared" si="0"/>
        <v>37</v>
      </c>
      <c r="I19" s="37">
        <f t="shared" si="1"/>
        <v>13</v>
      </c>
    </row>
    <row r="20" spans="1:9" x14ac:dyDescent="0.3">
      <c r="A20" s="32" t="s">
        <v>41</v>
      </c>
      <c r="B20" s="32" t="s">
        <v>42</v>
      </c>
      <c r="C20" s="33">
        <v>61</v>
      </c>
      <c r="D20" s="34">
        <v>685.23153942427996</v>
      </c>
      <c r="E20" s="34">
        <v>28.160200250312801</v>
      </c>
      <c r="F20" s="35">
        <v>4.5682102628285398E-3</v>
      </c>
      <c r="G20" s="35">
        <v>1.8773466833541899E-4</v>
      </c>
      <c r="H20" s="36">
        <f t="shared" si="0"/>
        <v>31</v>
      </c>
      <c r="I20" s="37">
        <f t="shared" si="1"/>
        <v>4</v>
      </c>
    </row>
    <row r="21" spans="1:9" x14ac:dyDescent="0.3">
      <c r="A21" s="32" t="s">
        <v>43</v>
      </c>
      <c r="B21" s="32" t="s">
        <v>44</v>
      </c>
      <c r="C21" s="33">
        <v>59</v>
      </c>
      <c r="D21" s="34">
        <v>581.97747183980005</v>
      </c>
      <c r="E21" s="34">
        <v>0</v>
      </c>
      <c r="F21" s="35">
        <v>3.87984981226533E-3</v>
      </c>
      <c r="G21" s="35">
        <v>0</v>
      </c>
      <c r="H21" s="36">
        <f t="shared" si="0"/>
        <v>26</v>
      </c>
      <c r="I21" s="37">
        <f t="shared" si="1"/>
        <v>0</v>
      </c>
    </row>
    <row r="22" spans="1:9" x14ac:dyDescent="0.3">
      <c r="A22" s="32" t="s">
        <v>45</v>
      </c>
      <c r="B22" s="32" t="s">
        <v>29</v>
      </c>
      <c r="C22" s="33">
        <v>27</v>
      </c>
      <c r="D22" s="34">
        <v>535.04380475594496</v>
      </c>
      <c r="E22" s="34">
        <v>28.160200250312801</v>
      </c>
      <c r="F22" s="35">
        <v>3.56695869837297E-3</v>
      </c>
      <c r="G22" s="35">
        <v>1.8773466833541899E-4</v>
      </c>
      <c r="H22" s="36">
        <f t="shared" si="0"/>
        <v>24</v>
      </c>
      <c r="I22" s="37">
        <f t="shared" si="1"/>
        <v>4</v>
      </c>
    </row>
    <row r="23" spans="1:9" x14ac:dyDescent="0.3">
      <c r="A23" s="32" t="s">
        <v>46</v>
      </c>
      <c r="B23" s="32" t="s">
        <v>47</v>
      </c>
      <c r="C23" s="33">
        <v>23</v>
      </c>
      <c r="D23" s="34">
        <v>300.37546933667198</v>
      </c>
      <c r="E23" s="34">
        <v>28.160200250312801</v>
      </c>
      <c r="F23" s="35">
        <v>2.0025031289111401E-3</v>
      </c>
      <c r="G23" s="35">
        <v>1.8773466833541899E-4</v>
      </c>
      <c r="H23" s="36">
        <f t="shared" si="0"/>
        <v>14</v>
      </c>
      <c r="I23" s="37">
        <f t="shared" si="1"/>
        <v>4</v>
      </c>
    </row>
    <row r="24" spans="1:9" x14ac:dyDescent="0.3">
      <c r="A24" s="32" t="s">
        <v>48</v>
      </c>
      <c r="B24" s="32" t="s">
        <v>49</v>
      </c>
      <c r="C24" s="33">
        <v>13</v>
      </c>
      <c r="D24" s="34">
        <v>150.18773466833599</v>
      </c>
      <c r="E24" s="34">
        <v>0</v>
      </c>
      <c r="F24" s="35">
        <v>1.0012515644555701E-3</v>
      </c>
      <c r="G24" s="35">
        <v>0</v>
      </c>
      <c r="H24" s="36">
        <f t="shared" si="0"/>
        <v>7</v>
      </c>
      <c r="I24" s="37">
        <f t="shared" si="1"/>
        <v>0</v>
      </c>
    </row>
    <row r="25" spans="1:9" x14ac:dyDescent="0.3">
      <c r="A25" s="32" t="s">
        <v>50</v>
      </c>
      <c r="B25" s="32" t="s">
        <v>10</v>
      </c>
      <c r="C25" s="33">
        <v>17</v>
      </c>
      <c r="D25" s="34">
        <v>84.480600750938706</v>
      </c>
      <c r="E25" s="34">
        <v>0</v>
      </c>
      <c r="F25" s="35">
        <v>5.6320400500625798E-4</v>
      </c>
      <c r="G25" s="35">
        <v>0</v>
      </c>
      <c r="H25" s="36">
        <f t="shared" si="0"/>
        <v>4</v>
      </c>
      <c r="I25" s="37">
        <f t="shared" si="1"/>
        <v>0</v>
      </c>
    </row>
    <row r="26" spans="1:9" x14ac:dyDescent="0.3">
      <c r="A26" s="32" t="s">
        <v>51</v>
      </c>
      <c r="B26" s="32" t="s">
        <v>52</v>
      </c>
      <c r="C26" s="33">
        <v>11</v>
      </c>
      <c r="D26" s="34">
        <v>56.320400500625801</v>
      </c>
      <c r="E26" s="34">
        <v>28.160200250312801</v>
      </c>
      <c r="F26" s="35">
        <v>3.7546933667083901E-4</v>
      </c>
      <c r="G26" s="35">
        <v>1.8773466833541899E-4</v>
      </c>
      <c r="H26" s="36">
        <f t="shared" si="0"/>
        <v>3</v>
      </c>
      <c r="I26" s="37">
        <f t="shared" si="1"/>
        <v>4</v>
      </c>
    </row>
    <row r="27" spans="1:9" x14ac:dyDescent="0.3">
      <c r="A27" s="22" t="s">
        <v>53</v>
      </c>
      <c r="B27" s="38" t="s">
        <v>54</v>
      </c>
      <c r="C27" s="23">
        <f>SUM(C2:C26)</f>
        <v>6433</v>
      </c>
      <c r="D27" s="39">
        <f>SUM(D2:D26)</f>
        <v>142650.18773466843</v>
      </c>
      <c r="E27" s="39">
        <f>SUM(E2:E26)</f>
        <v>7349.8122653316786</v>
      </c>
      <c r="I27" s="40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C10" sqref="C10"/>
    </sheetView>
  </sheetViews>
  <sheetFormatPr defaultRowHeight="14.4" x14ac:dyDescent="0.3"/>
  <cols>
    <col min="1" max="1" width="13.88671875" bestFit="1" customWidth="1"/>
    <col min="2" max="2" width="16.5546875" style="2" bestFit="1" customWidth="1"/>
    <col min="3" max="3" width="19.77734375" style="6" bestFit="1" customWidth="1"/>
    <col min="4" max="4" width="19.33203125" style="2" bestFit="1" customWidth="1"/>
    <col min="5" max="5" width="13.5546875" style="2" bestFit="1" customWidth="1"/>
    <col min="6" max="6" width="18.5546875" style="7" bestFit="1" customWidth="1"/>
  </cols>
  <sheetData>
    <row r="1" spans="1:6" x14ac:dyDescent="0.3">
      <c r="A1" s="19" t="s">
        <v>122</v>
      </c>
      <c r="B1" s="20" t="s">
        <v>123</v>
      </c>
      <c r="C1" s="28" t="s">
        <v>124</v>
      </c>
      <c r="D1" s="20" t="s">
        <v>125</v>
      </c>
      <c r="E1" s="20" t="s">
        <v>240</v>
      </c>
      <c r="F1" s="24" t="s">
        <v>126</v>
      </c>
    </row>
    <row r="2" spans="1:6" x14ac:dyDescent="0.3">
      <c r="A2" s="1" t="s">
        <v>127</v>
      </c>
      <c r="B2" s="21">
        <v>1228275</v>
      </c>
      <c r="C2" s="25">
        <v>12</v>
      </c>
      <c r="D2" s="21">
        <f>ROUND(B2/C2,0)</f>
        <v>102356</v>
      </c>
      <c r="E2" s="21">
        <v>61000</v>
      </c>
      <c r="F2" s="26">
        <f>E2/B2</f>
        <v>4.9663145468237975E-2</v>
      </c>
    </row>
    <row r="3" spans="1:6" x14ac:dyDescent="0.3">
      <c r="A3" s="1" t="s">
        <v>128</v>
      </c>
      <c r="B3" s="21">
        <v>256000</v>
      </c>
      <c r="C3" s="25">
        <v>4</v>
      </c>
      <c r="D3" s="21">
        <f>ROUND(B3/C3,0)</f>
        <v>64000</v>
      </c>
      <c r="E3" s="21">
        <v>29000</v>
      </c>
      <c r="F3" s="26">
        <f>E3/B3</f>
        <v>0.11328125</v>
      </c>
    </row>
    <row r="4" spans="1:6" x14ac:dyDescent="0.3">
      <c r="A4" s="1" t="s">
        <v>129</v>
      </c>
      <c r="B4" s="21">
        <v>81058</v>
      </c>
      <c r="C4" s="25">
        <v>4</v>
      </c>
      <c r="D4" s="21">
        <f>ROUND(B4/C4,0)</f>
        <v>20265</v>
      </c>
      <c r="E4" s="21">
        <v>12000</v>
      </c>
      <c r="F4" s="26">
        <f>E4/B4</f>
        <v>0.14804214266327814</v>
      </c>
    </row>
    <row r="5" spans="1:6" x14ac:dyDescent="0.3">
      <c r="A5" s="1" t="s">
        <v>130</v>
      </c>
      <c r="B5" s="21">
        <v>34667</v>
      </c>
      <c r="C5" s="25">
        <v>3.5</v>
      </c>
      <c r="D5" s="21">
        <f>ROUND(B5/C5,0)</f>
        <v>9905</v>
      </c>
      <c r="E5" s="21">
        <v>8000</v>
      </c>
      <c r="F5" s="26">
        <f>E5/B5</f>
        <v>0.23076701185565524</v>
      </c>
    </row>
    <row r="6" spans="1:6" x14ac:dyDescent="0.3">
      <c r="A6" s="19" t="s">
        <v>131</v>
      </c>
      <c r="B6" s="20">
        <f>SUM(B2:B5)</f>
        <v>1600000</v>
      </c>
      <c r="C6" s="28"/>
      <c r="D6" s="20">
        <f>SUM(D2:D5)</f>
        <v>196526</v>
      </c>
      <c r="E6" s="20">
        <f>SUM(E2:E5)</f>
        <v>110000</v>
      </c>
      <c r="F6" s="24">
        <f>E6/B6</f>
        <v>6.8750000000000006E-2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4"/>
  <sheetViews>
    <sheetView workbookViewId="0">
      <selection activeCell="I6" sqref="I6"/>
    </sheetView>
  </sheetViews>
  <sheetFormatPr defaultRowHeight="14.4" x14ac:dyDescent="0.3"/>
  <cols>
    <col min="1" max="1" width="14" customWidth="1"/>
    <col min="2" max="2" width="12" customWidth="1"/>
  </cols>
  <sheetData>
    <row r="1" spans="1:3" x14ac:dyDescent="0.3">
      <c r="A1" s="8" t="s">
        <v>132</v>
      </c>
      <c r="B1" s="8" t="s">
        <v>133</v>
      </c>
      <c r="C1" s="8" t="s">
        <v>134</v>
      </c>
    </row>
    <row r="2" spans="1:3" x14ac:dyDescent="0.3">
      <c r="A2" s="9" t="s">
        <v>135</v>
      </c>
      <c r="B2" s="9" t="s">
        <v>88</v>
      </c>
      <c r="C2" s="11" t="s">
        <v>137</v>
      </c>
    </row>
    <row r="3" spans="1:3" x14ac:dyDescent="0.3">
      <c r="A3" s="9" t="s">
        <v>136</v>
      </c>
      <c r="B3" s="9" t="s">
        <v>89</v>
      </c>
      <c r="C3" s="11" t="s">
        <v>137</v>
      </c>
    </row>
    <row r="4" spans="1:3" x14ac:dyDescent="0.3">
      <c r="A4" s="9" t="s">
        <v>138</v>
      </c>
      <c r="B4" s="9" t="s">
        <v>90</v>
      </c>
      <c r="C4" s="11" t="s">
        <v>137</v>
      </c>
    </row>
    <row r="5" spans="1:3" x14ac:dyDescent="0.3">
      <c r="A5" s="9" t="s">
        <v>139</v>
      </c>
      <c r="B5" s="9" t="s">
        <v>84</v>
      </c>
      <c r="C5" s="11" t="s">
        <v>137</v>
      </c>
    </row>
    <row r="6" spans="1:3" x14ac:dyDescent="0.3">
      <c r="A6" s="9" t="s">
        <v>140</v>
      </c>
      <c r="B6" s="9" t="s">
        <v>85</v>
      </c>
      <c r="C6" s="11" t="s">
        <v>137</v>
      </c>
    </row>
    <row r="7" spans="1:3" x14ac:dyDescent="0.3">
      <c r="A7" s="9" t="s">
        <v>141</v>
      </c>
      <c r="B7" s="9" t="s">
        <v>86</v>
      </c>
      <c r="C7" s="11" t="s">
        <v>137</v>
      </c>
    </row>
    <row r="8" spans="1:3" x14ac:dyDescent="0.3">
      <c r="A8" s="9" t="s">
        <v>142</v>
      </c>
      <c r="B8" s="9" t="s">
        <v>87</v>
      </c>
      <c r="C8" s="11" t="s">
        <v>137</v>
      </c>
    </row>
    <row r="9" spans="1:3" x14ac:dyDescent="0.3">
      <c r="A9" s="9" t="s">
        <v>143</v>
      </c>
      <c r="B9" s="9" t="s">
        <v>88</v>
      </c>
      <c r="C9" s="11" t="s">
        <v>137</v>
      </c>
    </row>
    <row r="10" spans="1:3" x14ac:dyDescent="0.3">
      <c r="A10" s="9" t="s">
        <v>144</v>
      </c>
      <c r="B10" s="9" t="s">
        <v>89</v>
      </c>
      <c r="C10" s="11" t="s">
        <v>137</v>
      </c>
    </row>
    <row r="11" spans="1:3" x14ac:dyDescent="0.3">
      <c r="A11" s="9" t="s">
        <v>145</v>
      </c>
      <c r="B11" s="9" t="s">
        <v>90</v>
      </c>
      <c r="C11" s="11" t="s">
        <v>137</v>
      </c>
    </row>
    <row r="12" spans="1:3" x14ac:dyDescent="0.3">
      <c r="A12" s="9" t="s">
        <v>146</v>
      </c>
      <c r="B12" s="9" t="s">
        <v>84</v>
      </c>
      <c r="C12" s="11" t="s">
        <v>147</v>
      </c>
    </row>
    <row r="13" spans="1:3" x14ac:dyDescent="0.3">
      <c r="A13" s="9" t="s">
        <v>148</v>
      </c>
      <c r="B13" s="9" t="s">
        <v>85</v>
      </c>
      <c r="C13" s="11" t="s">
        <v>147</v>
      </c>
    </row>
    <row r="14" spans="1:3" x14ac:dyDescent="0.3">
      <c r="A14" s="9" t="s">
        <v>149</v>
      </c>
      <c r="B14" s="9" t="s">
        <v>86</v>
      </c>
      <c r="C14" s="11" t="s">
        <v>147</v>
      </c>
    </row>
    <row r="15" spans="1:3" x14ac:dyDescent="0.3">
      <c r="A15" s="9" t="s">
        <v>150</v>
      </c>
      <c r="B15" s="9" t="s">
        <v>87</v>
      </c>
      <c r="C15" s="11" t="s">
        <v>147</v>
      </c>
    </row>
    <row r="16" spans="1:3" x14ac:dyDescent="0.3">
      <c r="A16" s="9" t="s">
        <v>151</v>
      </c>
      <c r="B16" s="9" t="s">
        <v>88</v>
      </c>
      <c r="C16" s="11" t="s">
        <v>147</v>
      </c>
    </row>
    <row r="17" spans="1:3" x14ac:dyDescent="0.3">
      <c r="A17" s="9" t="s">
        <v>152</v>
      </c>
      <c r="B17" s="9" t="s">
        <v>89</v>
      </c>
      <c r="C17" s="11" t="s">
        <v>137</v>
      </c>
    </row>
    <row r="18" spans="1:3" x14ac:dyDescent="0.3">
      <c r="A18" s="9" t="s">
        <v>153</v>
      </c>
      <c r="B18" s="9" t="s">
        <v>90</v>
      </c>
      <c r="C18" s="11" t="s">
        <v>137</v>
      </c>
    </row>
    <row r="19" spans="1:3" x14ac:dyDescent="0.3">
      <c r="A19" s="9" t="s">
        <v>154</v>
      </c>
      <c r="B19" s="9" t="s">
        <v>84</v>
      </c>
      <c r="C19" s="11" t="s">
        <v>147</v>
      </c>
    </row>
    <row r="20" spans="1:3" x14ac:dyDescent="0.3">
      <c r="A20" s="9" t="s">
        <v>155</v>
      </c>
      <c r="B20" s="9" t="s">
        <v>85</v>
      </c>
      <c r="C20" s="11" t="s">
        <v>147</v>
      </c>
    </row>
    <row r="21" spans="1:3" x14ac:dyDescent="0.3">
      <c r="A21" s="9" t="s">
        <v>156</v>
      </c>
      <c r="B21" s="9" t="s">
        <v>86</v>
      </c>
      <c r="C21" s="11" t="s">
        <v>147</v>
      </c>
    </row>
    <row r="22" spans="1:3" x14ac:dyDescent="0.3">
      <c r="A22" s="9" t="s">
        <v>157</v>
      </c>
      <c r="B22" s="9" t="s">
        <v>87</v>
      </c>
      <c r="C22" s="11" t="s">
        <v>147</v>
      </c>
    </row>
    <row r="23" spans="1:3" x14ac:dyDescent="0.3">
      <c r="A23" s="9" t="s">
        <v>158</v>
      </c>
      <c r="B23" s="9" t="s">
        <v>88</v>
      </c>
      <c r="C23" s="11" t="s">
        <v>147</v>
      </c>
    </row>
    <row r="24" spans="1:3" x14ac:dyDescent="0.3">
      <c r="A24" s="9" t="s">
        <v>159</v>
      </c>
      <c r="B24" s="9" t="s">
        <v>89</v>
      </c>
      <c r="C24" s="11" t="s">
        <v>137</v>
      </c>
    </row>
    <row r="25" spans="1:3" x14ac:dyDescent="0.3">
      <c r="A25" s="9" t="s">
        <v>160</v>
      </c>
      <c r="B25" s="9" t="s">
        <v>90</v>
      </c>
      <c r="C25" s="11" t="s">
        <v>137</v>
      </c>
    </row>
    <row r="26" spans="1:3" x14ac:dyDescent="0.3">
      <c r="A26" s="9" t="s">
        <v>161</v>
      </c>
      <c r="B26" s="9" t="s">
        <v>84</v>
      </c>
      <c r="C26" s="11" t="s">
        <v>147</v>
      </c>
    </row>
    <row r="27" spans="1:3" x14ac:dyDescent="0.3">
      <c r="A27" s="9" t="s">
        <v>162</v>
      </c>
      <c r="B27" s="9" t="s">
        <v>85</v>
      </c>
      <c r="C27" s="11" t="s">
        <v>147</v>
      </c>
    </row>
    <row r="28" spans="1:3" x14ac:dyDescent="0.3">
      <c r="A28" s="9" t="s">
        <v>163</v>
      </c>
      <c r="B28" s="9" t="s">
        <v>86</v>
      </c>
      <c r="C28" s="11" t="s">
        <v>147</v>
      </c>
    </row>
    <row r="29" spans="1:3" x14ac:dyDescent="0.3">
      <c r="A29" s="9" t="s">
        <v>164</v>
      </c>
      <c r="B29" s="9" t="s">
        <v>87</v>
      </c>
      <c r="C29" s="11" t="s">
        <v>147</v>
      </c>
    </row>
    <row r="30" spans="1:3" x14ac:dyDescent="0.3">
      <c r="A30" s="9" t="s">
        <v>165</v>
      </c>
      <c r="B30" s="9" t="s">
        <v>88</v>
      </c>
      <c r="C30" s="11" t="s">
        <v>147</v>
      </c>
    </row>
    <row r="31" spans="1:3" x14ac:dyDescent="0.3">
      <c r="A31" s="9" t="s">
        <v>166</v>
      </c>
      <c r="B31" s="9" t="s">
        <v>89</v>
      </c>
      <c r="C31" s="11" t="s">
        <v>137</v>
      </c>
    </row>
    <row r="32" spans="1:3" x14ac:dyDescent="0.3">
      <c r="A32" s="9" t="s">
        <v>167</v>
      </c>
      <c r="B32" s="9" t="s">
        <v>90</v>
      </c>
      <c r="C32" s="11" t="s">
        <v>137</v>
      </c>
    </row>
    <row r="34" spans="1:1" x14ac:dyDescent="0.3">
      <c r="A34" s="10" t="s">
        <v>168</v>
      </c>
    </row>
  </sheetData>
  <autoFilter ref="A1:C32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40CA-5402-4B9F-B71F-869BE1944109}">
  <dimension ref="A1:C28"/>
  <sheetViews>
    <sheetView tabSelected="1" workbookViewId="0">
      <selection activeCell="K35" sqref="K35"/>
    </sheetView>
  </sheetViews>
  <sheetFormatPr defaultRowHeight="14.4" x14ac:dyDescent="0.3"/>
  <sheetData>
    <row r="1" spans="1:3" x14ac:dyDescent="0.3">
      <c r="A1" s="12" t="s">
        <v>241</v>
      </c>
      <c r="B1" s="12" t="s">
        <v>242</v>
      </c>
      <c r="C1" s="12" t="s">
        <v>243</v>
      </c>
    </row>
    <row r="2" spans="1:3" x14ac:dyDescent="0.3">
      <c r="A2" s="13">
        <v>0</v>
      </c>
      <c r="B2" s="29">
        <v>1.4725E-2</v>
      </c>
      <c r="C2" s="29">
        <v>3.0318999999999999E-2</v>
      </c>
    </row>
    <row r="3" spans="1:3" x14ac:dyDescent="0.3">
      <c r="A3" s="13">
        <v>1</v>
      </c>
      <c r="B3" s="29">
        <v>8.2209999999999991E-3</v>
      </c>
      <c r="C3" s="29">
        <v>1.8716E-2</v>
      </c>
    </row>
    <row r="4" spans="1:3" x14ac:dyDescent="0.3">
      <c r="A4" s="13">
        <v>2</v>
      </c>
      <c r="B4" s="29">
        <v>5.0400000000000002E-3</v>
      </c>
      <c r="C4" s="29">
        <v>1.1948E-2</v>
      </c>
    </row>
    <row r="5" spans="1:3" x14ac:dyDescent="0.3">
      <c r="A5" s="13">
        <v>3</v>
      </c>
      <c r="B5" s="29">
        <v>3.4020000000000001E-3</v>
      </c>
      <c r="C5" s="29">
        <v>7.6400000000000001E-3</v>
      </c>
    </row>
    <row r="6" spans="1:3" x14ac:dyDescent="0.3">
      <c r="A6" s="13">
        <v>4</v>
      </c>
      <c r="B6" s="29">
        <v>2.6580000000000002E-3</v>
      </c>
      <c r="C6" s="29">
        <v>5.2490000000000002E-3</v>
      </c>
    </row>
    <row r="7" spans="1:3" x14ac:dyDescent="0.3">
      <c r="A7" s="13">
        <v>5</v>
      </c>
      <c r="B7" s="29">
        <v>4.5450000000000004E-3</v>
      </c>
      <c r="C7" s="29">
        <v>5.7749999999999998E-3</v>
      </c>
    </row>
    <row r="8" spans="1:3" x14ac:dyDescent="0.3">
      <c r="A8" s="13">
        <v>6</v>
      </c>
      <c r="B8" s="29">
        <v>2.3207999999999999E-2</v>
      </c>
      <c r="C8" s="29">
        <v>1.4201E-2</v>
      </c>
    </row>
    <row r="9" spans="1:3" x14ac:dyDescent="0.3">
      <c r="A9" s="13">
        <v>7</v>
      </c>
      <c r="B9" s="29">
        <v>7.1221999999999994E-2</v>
      </c>
      <c r="C9" s="29">
        <v>2.4597000000000001E-2</v>
      </c>
    </row>
    <row r="10" spans="1:3" x14ac:dyDescent="0.3">
      <c r="A10" s="13">
        <v>8</v>
      </c>
      <c r="B10" s="29">
        <v>5.8560000000000001E-2</v>
      </c>
      <c r="C10" s="29">
        <v>3.0297999999999999E-2</v>
      </c>
    </row>
    <row r="11" spans="1:3" x14ac:dyDescent="0.3">
      <c r="A11" s="13">
        <v>9</v>
      </c>
      <c r="B11" s="29">
        <v>5.7728000000000002E-2</v>
      </c>
      <c r="C11" s="29">
        <v>3.9738000000000002E-2</v>
      </c>
    </row>
    <row r="12" spans="1:3" x14ac:dyDescent="0.3">
      <c r="A12" s="13">
        <v>10</v>
      </c>
      <c r="B12" s="29">
        <v>5.2623000000000003E-2</v>
      </c>
      <c r="C12" s="29">
        <v>4.1029000000000003E-2</v>
      </c>
    </row>
    <row r="13" spans="1:3" x14ac:dyDescent="0.3">
      <c r="A13" s="13">
        <v>11</v>
      </c>
      <c r="B13" s="29">
        <v>5.3731000000000001E-2</v>
      </c>
      <c r="C13" s="29">
        <v>4.4164000000000002E-2</v>
      </c>
    </row>
    <row r="14" spans="1:3" x14ac:dyDescent="0.3">
      <c r="A14" s="13">
        <v>12</v>
      </c>
      <c r="B14" s="29">
        <v>6.021E-2</v>
      </c>
      <c r="C14" s="29">
        <v>4.7745000000000003E-2</v>
      </c>
    </row>
    <row r="15" spans="1:3" x14ac:dyDescent="0.3">
      <c r="A15" s="13">
        <v>13</v>
      </c>
      <c r="B15" s="29">
        <v>6.9108000000000003E-2</v>
      </c>
      <c r="C15" s="29">
        <v>5.9523E-2</v>
      </c>
    </row>
    <row r="16" spans="1:3" x14ac:dyDescent="0.3">
      <c r="A16" s="13">
        <v>14</v>
      </c>
      <c r="B16" s="29">
        <v>7.1603E-2</v>
      </c>
      <c r="C16" s="29">
        <v>6.3847000000000001E-2</v>
      </c>
    </row>
    <row r="17" spans="1:3" x14ac:dyDescent="0.3">
      <c r="A17" s="13">
        <v>15</v>
      </c>
      <c r="B17" s="29">
        <v>6.7377000000000006E-2</v>
      </c>
      <c r="C17" s="29">
        <v>6.6642000000000007E-2</v>
      </c>
    </row>
    <row r="18" spans="1:3" x14ac:dyDescent="0.3">
      <c r="A18" s="13">
        <v>16</v>
      </c>
      <c r="B18" s="29">
        <v>6.8815000000000001E-2</v>
      </c>
      <c r="C18" s="29">
        <v>7.3706999999999995E-2</v>
      </c>
    </row>
    <row r="19" spans="1:3" x14ac:dyDescent="0.3">
      <c r="A19" s="13">
        <v>17</v>
      </c>
      <c r="B19" s="29">
        <v>6.4593999999999999E-2</v>
      </c>
      <c r="C19" s="29">
        <v>7.3887999999999995E-2</v>
      </c>
    </row>
    <row r="20" spans="1:3" x14ac:dyDescent="0.3">
      <c r="A20" s="13">
        <v>18</v>
      </c>
      <c r="B20" s="29">
        <v>6.08E-2</v>
      </c>
      <c r="C20" s="29">
        <v>7.9662999999999998E-2</v>
      </c>
    </row>
    <row r="21" spans="1:3" x14ac:dyDescent="0.3">
      <c r="A21" s="13">
        <v>19</v>
      </c>
      <c r="B21" s="29">
        <v>5.0837E-2</v>
      </c>
      <c r="C21" s="29">
        <v>7.0710999999999996E-2</v>
      </c>
    </row>
    <row r="22" spans="1:3" x14ac:dyDescent="0.3">
      <c r="A22" s="13">
        <v>20</v>
      </c>
      <c r="B22" s="29">
        <v>4.2061000000000001E-2</v>
      </c>
      <c r="C22" s="29">
        <v>5.9034000000000003E-2</v>
      </c>
    </row>
    <row r="23" spans="1:3" x14ac:dyDescent="0.3">
      <c r="A23" s="13">
        <v>21</v>
      </c>
      <c r="B23" s="29">
        <v>3.4929000000000002E-2</v>
      </c>
      <c r="C23" s="29">
        <v>5.0363999999999999E-2</v>
      </c>
    </row>
    <row r="24" spans="1:3" x14ac:dyDescent="0.3">
      <c r="A24" s="13">
        <v>22</v>
      </c>
      <c r="B24" s="29">
        <v>3.0471999999999999E-2</v>
      </c>
      <c r="C24" s="29">
        <v>4.5831999999999998E-2</v>
      </c>
    </row>
    <row r="25" spans="1:3" x14ac:dyDescent="0.3">
      <c r="A25" s="13">
        <v>23</v>
      </c>
      <c r="B25" s="29">
        <v>2.3531E-2</v>
      </c>
      <c r="C25" s="29">
        <v>3.5371E-2</v>
      </c>
    </row>
    <row r="26" spans="1:3" x14ac:dyDescent="0.3">
      <c r="A26" s="30" t="s">
        <v>53</v>
      </c>
      <c r="B26" s="31">
        <f>SUM(B2:B25)</f>
        <v>1</v>
      </c>
      <c r="C26" s="31">
        <f>SUM(C2:C25)</f>
        <v>1.0000009999999999</v>
      </c>
    </row>
    <row r="28" spans="1:3" x14ac:dyDescent="0.3">
      <c r="A28" s="18" t="s">
        <v>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workbookViewId="0">
      <selection sqref="A1:H33"/>
    </sheetView>
  </sheetViews>
  <sheetFormatPr defaultRowHeight="14.4" x14ac:dyDescent="0.3"/>
  <cols>
    <col min="1" max="1" width="19" customWidth="1"/>
    <col min="2" max="2" width="16.33203125" bestFit="1" customWidth="1"/>
    <col min="3" max="3" width="26.109375" bestFit="1" customWidth="1"/>
    <col min="4" max="4" width="9.109375" bestFit="1" customWidth="1"/>
    <col min="5" max="5" width="6.88671875" bestFit="1" customWidth="1"/>
    <col min="6" max="6" width="11.88671875" bestFit="1" customWidth="1"/>
    <col min="7" max="7" width="11.77734375" bestFit="1" customWidth="1"/>
    <col min="8" max="8" width="27.21875" bestFit="1" customWidth="1"/>
  </cols>
  <sheetData>
    <row r="1" spans="1:8" x14ac:dyDescent="0.3">
      <c r="A1" s="12" t="s">
        <v>169</v>
      </c>
      <c r="B1" s="12" t="s">
        <v>170</v>
      </c>
      <c r="C1" s="12" t="s">
        <v>171</v>
      </c>
      <c r="D1" s="12" t="s">
        <v>172</v>
      </c>
      <c r="E1" s="12" t="s">
        <v>173</v>
      </c>
      <c r="F1" s="12" t="s">
        <v>174</v>
      </c>
      <c r="G1" s="12" t="s">
        <v>175</v>
      </c>
      <c r="H1" s="12" t="s">
        <v>176</v>
      </c>
    </row>
    <row r="2" spans="1:8" x14ac:dyDescent="0.3">
      <c r="A2" s="13" t="s">
        <v>177</v>
      </c>
      <c r="B2" s="16">
        <v>214</v>
      </c>
      <c r="C2" s="16">
        <v>0</v>
      </c>
      <c r="D2" s="16">
        <v>319</v>
      </c>
      <c r="E2" s="16">
        <v>23670</v>
      </c>
      <c r="F2" s="16">
        <v>1738</v>
      </c>
      <c r="G2" s="16">
        <v>25941</v>
      </c>
    </row>
    <row r="3" spans="1:8" x14ac:dyDescent="0.3">
      <c r="A3" s="13" t="s">
        <v>178</v>
      </c>
      <c r="B3" s="16">
        <v>263</v>
      </c>
      <c r="C3" s="16">
        <v>55</v>
      </c>
      <c r="D3" s="16">
        <v>409</v>
      </c>
      <c r="E3" s="16">
        <v>13300</v>
      </c>
      <c r="F3" s="16">
        <v>1906</v>
      </c>
      <c r="G3" s="16">
        <v>15933</v>
      </c>
    </row>
    <row r="4" spans="1:8" x14ac:dyDescent="0.3">
      <c r="A4" s="13" t="s">
        <v>179</v>
      </c>
      <c r="B4" s="16">
        <v>312</v>
      </c>
      <c r="C4" s="16">
        <v>123</v>
      </c>
      <c r="D4" s="16">
        <v>524</v>
      </c>
      <c r="E4" s="16">
        <v>12140</v>
      </c>
      <c r="F4" s="16">
        <v>2516</v>
      </c>
      <c r="G4" s="16">
        <v>15615</v>
      </c>
    </row>
    <row r="5" spans="1:8" x14ac:dyDescent="0.3">
      <c r="A5" s="13" t="s">
        <v>180</v>
      </c>
      <c r="B5" s="16">
        <v>172</v>
      </c>
      <c r="C5" s="16">
        <v>80</v>
      </c>
      <c r="D5" s="16">
        <v>266</v>
      </c>
      <c r="E5" s="16">
        <v>5679</v>
      </c>
      <c r="F5" s="16">
        <v>1417</v>
      </c>
      <c r="G5" s="16">
        <v>7614</v>
      </c>
    </row>
    <row r="6" spans="1:8" x14ac:dyDescent="0.3">
      <c r="A6" s="13" t="s">
        <v>181</v>
      </c>
      <c r="B6" s="16">
        <v>202</v>
      </c>
      <c r="C6" s="16">
        <v>90</v>
      </c>
      <c r="D6" s="16">
        <v>304</v>
      </c>
      <c r="E6" s="16">
        <v>5910</v>
      </c>
      <c r="F6" s="16">
        <v>1757</v>
      </c>
      <c r="G6" s="16">
        <v>8263</v>
      </c>
    </row>
    <row r="7" spans="1:8" x14ac:dyDescent="0.3">
      <c r="A7" s="13" t="s">
        <v>182</v>
      </c>
      <c r="B7" s="16">
        <v>251</v>
      </c>
      <c r="C7" s="16">
        <v>136</v>
      </c>
      <c r="D7" s="16">
        <v>353</v>
      </c>
      <c r="E7" s="16">
        <v>5323</v>
      </c>
      <c r="F7" s="16">
        <v>1890</v>
      </c>
      <c r="G7" s="16">
        <v>7953</v>
      </c>
    </row>
    <row r="8" spans="1:8" x14ac:dyDescent="0.3">
      <c r="A8" s="13" t="s">
        <v>183</v>
      </c>
      <c r="B8" s="16">
        <v>195</v>
      </c>
      <c r="C8" s="16">
        <v>121</v>
      </c>
      <c r="D8" s="16">
        <v>251</v>
      </c>
      <c r="E8" s="16">
        <v>4088</v>
      </c>
      <c r="F8" s="16">
        <v>1619</v>
      </c>
      <c r="G8" s="16">
        <v>6274</v>
      </c>
    </row>
    <row r="9" spans="1:8" x14ac:dyDescent="0.3">
      <c r="A9" s="13" t="s">
        <v>184</v>
      </c>
      <c r="B9" s="16">
        <v>246</v>
      </c>
      <c r="C9" s="16">
        <v>145</v>
      </c>
      <c r="D9" s="16">
        <v>322</v>
      </c>
      <c r="E9" s="16">
        <v>3504</v>
      </c>
      <c r="F9" s="16">
        <v>1856</v>
      </c>
      <c r="G9" s="16">
        <v>6073</v>
      </c>
    </row>
    <row r="10" spans="1:8" x14ac:dyDescent="0.3">
      <c r="A10" s="13" t="s">
        <v>185</v>
      </c>
      <c r="B10" s="16">
        <v>218</v>
      </c>
      <c r="C10" s="16">
        <v>146</v>
      </c>
      <c r="D10" s="16">
        <v>253</v>
      </c>
      <c r="E10" s="16">
        <v>2958</v>
      </c>
      <c r="F10" s="16">
        <v>1575</v>
      </c>
      <c r="G10" s="16">
        <v>5150</v>
      </c>
    </row>
    <row r="11" spans="1:8" x14ac:dyDescent="0.3">
      <c r="A11" s="13" t="s">
        <v>186</v>
      </c>
      <c r="B11" s="16">
        <v>284</v>
      </c>
      <c r="C11" s="16">
        <v>134</v>
      </c>
      <c r="D11" s="16">
        <v>267</v>
      </c>
      <c r="E11" s="16">
        <v>3329</v>
      </c>
      <c r="F11" s="16">
        <v>1938</v>
      </c>
      <c r="G11" s="16">
        <v>5952</v>
      </c>
    </row>
    <row r="12" spans="1:8" x14ac:dyDescent="0.3">
      <c r="A12" s="13" t="s">
        <v>187</v>
      </c>
      <c r="B12" s="16">
        <v>189</v>
      </c>
      <c r="C12" s="16">
        <v>99</v>
      </c>
      <c r="D12" s="16">
        <v>186</v>
      </c>
      <c r="E12" s="16">
        <v>1712</v>
      </c>
      <c r="F12" s="16">
        <v>1260</v>
      </c>
      <c r="G12" s="16">
        <v>3446</v>
      </c>
    </row>
    <row r="13" spans="1:8" x14ac:dyDescent="0.3">
      <c r="A13" s="13" t="s">
        <v>188</v>
      </c>
      <c r="B13" s="16">
        <v>197</v>
      </c>
      <c r="C13" s="16">
        <v>107</v>
      </c>
      <c r="D13" s="16">
        <v>211</v>
      </c>
      <c r="E13" s="16">
        <v>1984</v>
      </c>
      <c r="F13" s="16">
        <v>1509</v>
      </c>
      <c r="G13" s="16">
        <v>4008</v>
      </c>
    </row>
    <row r="14" spans="1:8" x14ac:dyDescent="0.3">
      <c r="A14" s="13" t="s">
        <v>189</v>
      </c>
      <c r="B14" s="16">
        <v>155</v>
      </c>
      <c r="C14" s="16">
        <v>134</v>
      </c>
      <c r="D14" s="16">
        <v>202</v>
      </c>
      <c r="E14" s="16">
        <v>1757</v>
      </c>
      <c r="F14" s="16">
        <v>1434</v>
      </c>
      <c r="G14" s="16">
        <v>3682</v>
      </c>
    </row>
    <row r="15" spans="1:8" x14ac:dyDescent="0.3">
      <c r="A15" s="13" t="s">
        <v>190</v>
      </c>
      <c r="B15" s="16">
        <v>186</v>
      </c>
      <c r="C15" s="16">
        <v>110</v>
      </c>
      <c r="D15" s="16">
        <v>171</v>
      </c>
      <c r="E15" s="16">
        <v>1379</v>
      </c>
      <c r="F15" s="16">
        <v>1383</v>
      </c>
      <c r="G15" s="16">
        <v>3229</v>
      </c>
    </row>
    <row r="16" spans="1:8" x14ac:dyDescent="0.3">
      <c r="A16" s="13" t="s">
        <v>191</v>
      </c>
      <c r="B16" s="16">
        <v>201</v>
      </c>
      <c r="C16" s="16">
        <v>139</v>
      </c>
      <c r="D16" s="16">
        <v>219</v>
      </c>
      <c r="E16" s="16">
        <v>1286</v>
      </c>
      <c r="F16" s="16">
        <v>1389</v>
      </c>
      <c r="G16" s="16">
        <v>3234</v>
      </c>
    </row>
    <row r="17" spans="1:8" x14ac:dyDescent="0.3">
      <c r="A17" s="13" t="s">
        <v>192</v>
      </c>
      <c r="B17" s="16">
        <v>183</v>
      </c>
      <c r="C17" s="16">
        <v>134</v>
      </c>
      <c r="D17" s="16">
        <v>202</v>
      </c>
      <c r="E17" s="16">
        <v>1171</v>
      </c>
      <c r="F17" s="16">
        <v>1521</v>
      </c>
      <c r="G17" s="16">
        <v>3211</v>
      </c>
    </row>
    <row r="18" spans="1:8" x14ac:dyDescent="0.3">
      <c r="A18" s="13" t="s">
        <v>193</v>
      </c>
      <c r="B18" s="16">
        <v>246</v>
      </c>
      <c r="C18" s="16">
        <v>172</v>
      </c>
      <c r="D18" s="16">
        <v>236</v>
      </c>
      <c r="E18" s="16">
        <v>1311</v>
      </c>
      <c r="F18" s="16">
        <v>1849</v>
      </c>
      <c r="G18" s="16">
        <v>3814</v>
      </c>
    </row>
    <row r="19" spans="1:8" x14ac:dyDescent="0.3">
      <c r="A19" s="13" t="s">
        <v>194</v>
      </c>
      <c r="B19" s="16">
        <v>165</v>
      </c>
      <c r="C19" s="16">
        <v>111</v>
      </c>
      <c r="D19" s="16">
        <v>130</v>
      </c>
      <c r="E19" s="16">
        <v>648</v>
      </c>
      <c r="F19" s="16">
        <v>1051</v>
      </c>
      <c r="G19" s="16">
        <v>2105</v>
      </c>
    </row>
    <row r="20" spans="1:8" x14ac:dyDescent="0.3">
      <c r="A20" s="13" t="s">
        <v>195</v>
      </c>
      <c r="B20" s="16">
        <v>197</v>
      </c>
      <c r="C20" s="16">
        <v>136</v>
      </c>
      <c r="D20" s="16">
        <v>129</v>
      </c>
      <c r="E20" s="16">
        <v>727</v>
      </c>
      <c r="F20" s="16">
        <v>1401</v>
      </c>
      <c r="G20" s="16">
        <v>2590</v>
      </c>
    </row>
    <row r="21" spans="1:8" x14ac:dyDescent="0.3">
      <c r="A21" s="13" t="s">
        <v>196</v>
      </c>
      <c r="B21" s="16">
        <v>176</v>
      </c>
      <c r="C21" s="16">
        <v>117</v>
      </c>
      <c r="D21" s="16">
        <v>170</v>
      </c>
      <c r="E21" s="16">
        <v>622</v>
      </c>
      <c r="F21" s="16">
        <v>1461</v>
      </c>
      <c r="G21" s="16">
        <v>2546</v>
      </c>
    </row>
    <row r="22" spans="1:8" x14ac:dyDescent="0.3">
      <c r="A22" s="13" t="s">
        <v>197</v>
      </c>
      <c r="B22" s="16">
        <v>296</v>
      </c>
      <c r="C22" s="16">
        <v>159</v>
      </c>
      <c r="D22" s="16">
        <v>249</v>
      </c>
      <c r="E22" s="16">
        <v>657</v>
      </c>
      <c r="F22" s="16">
        <v>1766</v>
      </c>
      <c r="G22" s="16">
        <v>3127</v>
      </c>
    </row>
    <row r="23" spans="1:8" x14ac:dyDescent="0.3">
      <c r="A23" s="13" t="s">
        <v>198</v>
      </c>
      <c r="B23" s="16">
        <v>170</v>
      </c>
      <c r="C23" s="16">
        <v>119</v>
      </c>
      <c r="D23" s="16">
        <v>152</v>
      </c>
      <c r="E23" s="16">
        <v>488</v>
      </c>
      <c r="F23" s="16">
        <v>1334</v>
      </c>
      <c r="G23" s="16">
        <v>2263</v>
      </c>
    </row>
    <row r="24" spans="1:8" x14ac:dyDescent="0.3">
      <c r="A24" s="13" t="s">
        <v>199</v>
      </c>
      <c r="B24" s="16">
        <v>180</v>
      </c>
      <c r="C24" s="16">
        <v>127</v>
      </c>
      <c r="D24" s="16">
        <v>145</v>
      </c>
      <c r="E24" s="16">
        <v>416</v>
      </c>
      <c r="F24" s="16">
        <v>1451</v>
      </c>
      <c r="G24" s="16">
        <v>2319</v>
      </c>
    </row>
    <row r="25" spans="1:8" x14ac:dyDescent="0.3">
      <c r="A25" s="13" t="s">
        <v>200</v>
      </c>
      <c r="B25" s="16">
        <v>281</v>
      </c>
      <c r="C25" s="16">
        <v>150</v>
      </c>
      <c r="D25" s="16">
        <v>214</v>
      </c>
      <c r="E25" s="16">
        <v>513</v>
      </c>
      <c r="F25" s="16">
        <v>2061</v>
      </c>
      <c r="G25" s="16">
        <v>3219</v>
      </c>
    </row>
    <row r="26" spans="1:8" x14ac:dyDescent="0.3">
      <c r="A26" s="13" t="s">
        <v>201</v>
      </c>
      <c r="B26" s="16">
        <v>192</v>
      </c>
      <c r="C26" s="16">
        <v>94</v>
      </c>
      <c r="D26" s="16">
        <v>135</v>
      </c>
      <c r="E26" s="16">
        <v>253</v>
      </c>
      <c r="F26" s="16">
        <v>1191</v>
      </c>
      <c r="G26" s="16">
        <v>1865</v>
      </c>
    </row>
    <row r="27" spans="1:8" x14ac:dyDescent="0.3">
      <c r="A27" s="13" t="s">
        <v>202</v>
      </c>
      <c r="B27" s="16">
        <v>176</v>
      </c>
      <c r="C27" s="16">
        <v>136</v>
      </c>
      <c r="D27" s="16">
        <v>143</v>
      </c>
      <c r="E27" s="16">
        <v>189</v>
      </c>
      <c r="F27" s="16">
        <v>1390</v>
      </c>
      <c r="G27" s="16">
        <v>2034</v>
      </c>
    </row>
    <row r="28" spans="1:8" x14ac:dyDescent="0.3">
      <c r="A28" s="13" t="s">
        <v>203</v>
      </c>
      <c r="B28" s="16">
        <v>183</v>
      </c>
      <c r="C28" s="16">
        <v>146</v>
      </c>
      <c r="D28" s="16">
        <v>134</v>
      </c>
      <c r="E28" s="16">
        <v>172</v>
      </c>
      <c r="F28" s="16">
        <v>1375</v>
      </c>
      <c r="G28" s="16">
        <v>2010</v>
      </c>
    </row>
    <row r="29" spans="1:8" x14ac:dyDescent="0.3">
      <c r="A29" s="13" t="s">
        <v>204</v>
      </c>
      <c r="B29" s="16">
        <v>211</v>
      </c>
      <c r="C29" s="16">
        <v>133</v>
      </c>
      <c r="D29" s="16">
        <v>167</v>
      </c>
      <c r="E29" s="16">
        <v>384</v>
      </c>
      <c r="F29" s="16">
        <v>1510</v>
      </c>
      <c r="G29" s="16">
        <v>2405</v>
      </c>
      <c r="H29" s="15" t="s">
        <v>205</v>
      </c>
    </row>
    <row r="30" spans="1:8" x14ac:dyDescent="0.3">
      <c r="A30" s="13" t="s">
        <v>206</v>
      </c>
      <c r="B30" s="16">
        <v>211</v>
      </c>
      <c r="C30" s="16">
        <v>133</v>
      </c>
      <c r="D30" s="16">
        <v>167</v>
      </c>
      <c r="E30" s="16">
        <v>384</v>
      </c>
      <c r="F30" s="16">
        <v>1510</v>
      </c>
      <c r="G30" s="16">
        <v>2405</v>
      </c>
      <c r="H30" s="15" t="s">
        <v>205</v>
      </c>
    </row>
    <row r="31" spans="1:8" x14ac:dyDescent="0.3">
      <c r="A31" s="13" t="s">
        <v>207</v>
      </c>
      <c r="B31" s="16">
        <v>211</v>
      </c>
      <c r="C31" s="16">
        <v>133</v>
      </c>
      <c r="D31" s="16">
        <v>167</v>
      </c>
      <c r="E31" s="16">
        <v>384</v>
      </c>
      <c r="F31" s="16">
        <v>1510</v>
      </c>
      <c r="G31" s="16">
        <v>2405</v>
      </c>
      <c r="H31" s="15" t="s">
        <v>205</v>
      </c>
    </row>
    <row r="33" spans="1:1" x14ac:dyDescent="0.3">
      <c r="A33" s="15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Config</vt:lpstr>
      <vt:lpstr>Real Demand Target Day x Zone</vt:lpstr>
      <vt:lpstr>Promo Spend Zone x Day</vt:lpstr>
      <vt:lpstr>Universities Targets</vt:lpstr>
      <vt:lpstr>Users Target</vt:lpstr>
      <vt:lpstr>Uni Calendar</vt:lpstr>
      <vt:lpstr>Hour Weights</vt:lpstr>
      <vt:lpstr>User Pacing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Yazan Bustami</dc:creator>
  <cp:lastModifiedBy>Yazan Bustami</cp:lastModifiedBy>
  <dcterms:created xsi:type="dcterms:W3CDTF">2026-09-25T21:05:19Z</dcterms:created>
  <dcterms:modified xsi:type="dcterms:W3CDTF">2026-10-22T08:06:46Z</dcterms:modified>
</cp:coreProperties>
</file>